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eliza\Downloads\"/>
    </mc:Choice>
  </mc:AlternateContent>
  <xr:revisionPtr revIDLastSave="0" documentId="13_ncr:1_{89F12BB0-943A-4DF1-8FEA-BB93B7263DA0}" xr6:coauthVersionLast="47" xr6:coauthVersionMax="47" xr10:uidLastSave="{00000000-0000-0000-0000-000000000000}"/>
  <bookViews>
    <workbookView xWindow="-108" yWindow="-108" windowWidth="23256" windowHeight="12456" tabRatio="345" xr2:uid="{00000000-000D-0000-FFFF-FFFF00000000}"/>
  </bookViews>
  <sheets>
    <sheet name="Simulador" sheetId="1" r:id="rId1"/>
    <sheet name="APP" sheetId="2" r:id="rId2"/>
    <sheet name="Planilha2" sheetId="3" r:id="rId3"/>
    <sheet name="Notas" sheetId="4" r:id="rId4"/>
  </sheets>
  <definedNames>
    <definedName name="aporte">APP!$D$17</definedName>
    <definedName name="_xlnm.Print_Area" localSheetId="0">Simulador!$B$2:$N$159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3" l="1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C33" i="2"/>
  <c r="D28" i="2"/>
  <c r="C28" i="2"/>
  <c r="D27" i="2"/>
  <c r="C27" i="2"/>
  <c r="C26" i="2"/>
  <c r="D26" i="2" s="1"/>
  <c r="D25" i="2"/>
  <c r="C25" i="2"/>
  <c r="D24" i="2"/>
  <c r="C24" i="2"/>
  <c r="D21" i="2"/>
  <c r="D20" i="2"/>
  <c r="D14" i="2"/>
  <c r="J138" i="1"/>
  <c r="B138" i="1"/>
  <c r="J137" i="1"/>
  <c r="C137" i="1"/>
  <c r="B137" i="1"/>
  <c r="E136" i="1"/>
  <c r="D136" i="1"/>
  <c r="C136" i="1"/>
  <c r="B136" i="1"/>
  <c r="J136" i="1" s="1"/>
  <c r="F135" i="1"/>
  <c r="E135" i="1"/>
  <c r="D135" i="1"/>
  <c r="C135" i="1"/>
  <c r="B135" i="1"/>
  <c r="J135" i="1" s="1"/>
  <c r="I134" i="1"/>
  <c r="G134" i="1"/>
  <c r="F134" i="1"/>
  <c r="E134" i="1"/>
  <c r="D134" i="1"/>
  <c r="C134" i="1"/>
  <c r="B134" i="1"/>
  <c r="J134" i="1" s="1"/>
  <c r="H133" i="1"/>
  <c r="G133" i="1"/>
  <c r="F133" i="1"/>
  <c r="E133" i="1"/>
  <c r="D133" i="1"/>
  <c r="B133" i="1"/>
  <c r="C133" i="1" s="1"/>
  <c r="I132" i="1"/>
  <c r="H132" i="1"/>
  <c r="G132" i="1"/>
  <c r="F132" i="1"/>
  <c r="E132" i="1"/>
  <c r="C132" i="1"/>
  <c r="B132" i="1"/>
  <c r="D132" i="1" s="1"/>
  <c r="I131" i="1"/>
  <c r="H131" i="1"/>
  <c r="B131" i="1"/>
  <c r="G131" i="1" s="1"/>
  <c r="B130" i="1"/>
  <c r="B129" i="1"/>
  <c r="E128" i="1"/>
  <c r="D128" i="1"/>
  <c r="C128" i="1"/>
  <c r="B128" i="1"/>
  <c r="J128" i="1" s="1"/>
  <c r="F127" i="1"/>
  <c r="E127" i="1"/>
  <c r="D127" i="1"/>
  <c r="C127" i="1"/>
  <c r="B127" i="1"/>
  <c r="J127" i="1" s="1"/>
  <c r="I126" i="1"/>
  <c r="H126" i="1"/>
  <c r="G126" i="1"/>
  <c r="F126" i="1"/>
  <c r="E126" i="1"/>
  <c r="D126" i="1"/>
  <c r="C126" i="1"/>
  <c r="B126" i="1"/>
  <c r="J126" i="1" s="1"/>
  <c r="H125" i="1"/>
  <c r="G125" i="1"/>
  <c r="F125" i="1"/>
  <c r="E125" i="1"/>
  <c r="D125" i="1"/>
  <c r="B125" i="1"/>
  <c r="C125" i="1" s="1"/>
  <c r="I124" i="1"/>
  <c r="H124" i="1"/>
  <c r="G124" i="1"/>
  <c r="F124" i="1"/>
  <c r="E124" i="1"/>
  <c r="C124" i="1"/>
  <c r="B124" i="1"/>
  <c r="D124" i="1" s="1"/>
  <c r="I123" i="1"/>
  <c r="H123" i="1"/>
  <c r="B123" i="1"/>
  <c r="G123" i="1" s="1"/>
  <c r="B122" i="1"/>
  <c r="J121" i="1"/>
  <c r="B121" i="1"/>
  <c r="E120" i="1"/>
  <c r="D120" i="1"/>
  <c r="C120" i="1"/>
  <c r="B120" i="1"/>
  <c r="J120" i="1" s="1"/>
  <c r="F119" i="1"/>
  <c r="E119" i="1"/>
  <c r="D119" i="1"/>
  <c r="C119" i="1"/>
  <c r="B119" i="1"/>
  <c r="J119" i="1" s="1"/>
  <c r="I118" i="1"/>
  <c r="H118" i="1"/>
  <c r="G118" i="1"/>
  <c r="F118" i="1"/>
  <c r="E118" i="1"/>
  <c r="D118" i="1"/>
  <c r="C118" i="1"/>
  <c r="B118" i="1"/>
  <c r="J118" i="1" s="1"/>
  <c r="H117" i="1"/>
  <c r="G117" i="1"/>
  <c r="F117" i="1"/>
  <c r="E117" i="1"/>
  <c r="D117" i="1"/>
  <c r="B117" i="1"/>
  <c r="C117" i="1" s="1"/>
  <c r="I116" i="1"/>
  <c r="H116" i="1"/>
  <c r="G116" i="1"/>
  <c r="F116" i="1"/>
  <c r="E116" i="1"/>
  <c r="C116" i="1"/>
  <c r="B116" i="1"/>
  <c r="D116" i="1" s="1"/>
  <c r="I115" i="1"/>
  <c r="H115" i="1"/>
  <c r="B115" i="1"/>
  <c r="G115" i="1" s="1"/>
  <c r="J114" i="1"/>
  <c r="B114" i="1"/>
  <c r="C113" i="1"/>
  <c r="B113" i="1"/>
  <c r="E112" i="1"/>
  <c r="D112" i="1"/>
  <c r="C112" i="1"/>
  <c r="B112" i="1"/>
  <c r="J112" i="1" s="1"/>
  <c r="F111" i="1"/>
  <c r="E111" i="1"/>
  <c r="D111" i="1"/>
  <c r="B111" i="1"/>
  <c r="C111" i="1" s="1"/>
  <c r="I110" i="1"/>
  <c r="H110" i="1"/>
  <c r="G110" i="1"/>
  <c r="F110" i="1"/>
  <c r="E110" i="1"/>
  <c r="D110" i="1"/>
  <c r="C110" i="1"/>
  <c r="B110" i="1"/>
  <c r="J110" i="1" s="1"/>
  <c r="H109" i="1"/>
  <c r="G109" i="1"/>
  <c r="F109" i="1"/>
  <c r="E109" i="1"/>
  <c r="D109" i="1"/>
  <c r="B109" i="1"/>
  <c r="C109" i="1" s="1"/>
  <c r="I108" i="1"/>
  <c r="H108" i="1"/>
  <c r="G108" i="1"/>
  <c r="F108" i="1"/>
  <c r="E108" i="1"/>
  <c r="C108" i="1"/>
  <c r="B108" i="1"/>
  <c r="D108" i="1" s="1"/>
  <c r="I107" i="1"/>
  <c r="H107" i="1"/>
  <c r="B107" i="1"/>
  <c r="J106" i="1"/>
  <c r="I106" i="1"/>
  <c r="B106" i="1"/>
  <c r="D105" i="1"/>
  <c r="C105" i="1"/>
  <c r="B105" i="1"/>
  <c r="E104" i="1"/>
  <c r="D104" i="1"/>
  <c r="C104" i="1"/>
  <c r="B104" i="1"/>
  <c r="J104" i="1" s="1"/>
  <c r="F103" i="1"/>
  <c r="E103" i="1"/>
  <c r="D103" i="1"/>
  <c r="B103" i="1"/>
  <c r="C103" i="1" s="1"/>
  <c r="I102" i="1"/>
  <c r="H102" i="1"/>
  <c r="G102" i="1"/>
  <c r="F102" i="1"/>
  <c r="E102" i="1"/>
  <c r="D102" i="1"/>
  <c r="C102" i="1"/>
  <c r="B102" i="1"/>
  <c r="J102" i="1" s="1"/>
  <c r="H101" i="1"/>
  <c r="G101" i="1"/>
  <c r="F101" i="1"/>
  <c r="E101" i="1"/>
  <c r="D101" i="1"/>
  <c r="B101" i="1"/>
  <c r="C101" i="1" s="1"/>
  <c r="I100" i="1"/>
  <c r="H100" i="1"/>
  <c r="G100" i="1"/>
  <c r="F100" i="1"/>
  <c r="E100" i="1"/>
  <c r="C100" i="1"/>
  <c r="B100" i="1"/>
  <c r="D100" i="1" s="1"/>
  <c r="B99" i="1"/>
  <c r="J98" i="1"/>
  <c r="B98" i="1"/>
  <c r="J97" i="1"/>
  <c r="I97" i="1"/>
  <c r="H97" i="1"/>
  <c r="D97" i="1"/>
  <c r="C97" i="1"/>
  <c r="B97" i="1"/>
  <c r="B96" i="1"/>
  <c r="J95" i="1"/>
  <c r="C95" i="1"/>
  <c r="B95" i="1"/>
  <c r="I94" i="1"/>
  <c r="H94" i="1"/>
  <c r="G94" i="1"/>
  <c r="F94" i="1"/>
  <c r="E94" i="1"/>
  <c r="D94" i="1"/>
  <c r="C94" i="1"/>
  <c r="B94" i="1"/>
  <c r="J94" i="1" s="1"/>
  <c r="H93" i="1"/>
  <c r="G93" i="1"/>
  <c r="F93" i="1"/>
  <c r="E93" i="1"/>
  <c r="D93" i="1"/>
  <c r="B93" i="1"/>
  <c r="C93" i="1" s="1"/>
  <c r="I92" i="1"/>
  <c r="H92" i="1"/>
  <c r="G92" i="1"/>
  <c r="F92" i="1"/>
  <c r="E92" i="1"/>
  <c r="C92" i="1"/>
  <c r="B92" i="1"/>
  <c r="D92" i="1" s="1"/>
  <c r="B91" i="1"/>
  <c r="G90" i="1"/>
  <c r="C90" i="1"/>
  <c r="B90" i="1"/>
  <c r="J89" i="1"/>
  <c r="I89" i="1"/>
  <c r="B89" i="1"/>
  <c r="J88" i="1"/>
  <c r="I88" i="1"/>
  <c r="E88" i="1"/>
  <c r="D88" i="1"/>
  <c r="B88" i="1"/>
  <c r="B87" i="1"/>
  <c r="I86" i="1"/>
  <c r="H86" i="1"/>
  <c r="G86" i="1"/>
  <c r="F86" i="1"/>
  <c r="E86" i="1"/>
  <c r="D86" i="1"/>
  <c r="C86" i="1"/>
  <c r="B86" i="1"/>
  <c r="J86" i="1" s="1"/>
  <c r="H85" i="1"/>
  <c r="G85" i="1"/>
  <c r="F85" i="1"/>
  <c r="E85" i="1"/>
  <c r="D85" i="1"/>
  <c r="B85" i="1"/>
  <c r="C85" i="1" s="1"/>
  <c r="I84" i="1"/>
  <c r="H84" i="1"/>
  <c r="G84" i="1"/>
  <c r="F84" i="1"/>
  <c r="E84" i="1"/>
  <c r="C84" i="1"/>
  <c r="B84" i="1"/>
  <c r="D84" i="1" s="1"/>
  <c r="I83" i="1"/>
  <c r="H83" i="1"/>
  <c r="B83" i="1"/>
  <c r="D83" i="1" s="1"/>
  <c r="J82" i="1"/>
  <c r="I82" i="1"/>
  <c r="H82" i="1"/>
  <c r="G82" i="1"/>
  <c r="B82" i="1"/>
  <c r="J81" i="1"/>
  <c r="I81" i="1"/>
  <c r="H81" i="1"/>
  <c r="F81" i="1"/>
  <c r="D81" i="1"/>
  <c r="B81" i="1"/>
  <c r="J80" i="1"/>
  <c r="I80" i="1"/>
  <c r="G80" i="1"/>
  <c r="E80" i="1"/>
  <c r="D80" i="1"/>
  <c r="C80" i="1"/>
  <c r="B80" i="1"/>
  <c r="B79" i="1"/>
  <c r="C79" i="1" s="1"/>
  <c r="D78" i="1"/>
  <c r="C78" i="1"/>
  <c r="B78" i="1"/>
  <c r="B77" i="1"/>
  <c r="C76" i="1"/>
  <c r="B76" i="1"/>
  <c r="B75" i="1"/>
  <c r="B74" i="1"/>
  <c r="B73" i="1"/>
  <c r="C72" i="1"/>
  <c r="D72" i="1" s="1"/>
  <c r="B72" i="1"/>
  <c r="C71" i="1"/>
  <c r="D71" i="1" s="1"/>
  <c r="B71" i="1"/>
  <c r="D70" i="1"/>
  <c r="C70" i="1"/>
  <c r="B70" i="1"/>
  <c r="D69" i="1"/>
  <c r="B69" i="1"/>
  <c r="C69" i="1" s="1"/>
  <c r="C68" i="1"/>
  <c r="B68" i="1"/>
  <c r="C67" i="1"/>
  <c r="D67" i="1" s="1"/>
  <c r="B67" i="1"/>
  <c r="C66" i="1"/>
  <c r="D66" i="1" s="1"/>
  <c r="B66" i="1"/>
  <c r="C65" i="1"/>
  <c r="D65" i="1" s="1"/>
  <c r="B65" i="1"/>
  <c r="C64" i="1"/>
  <c r="D64" i="1" s="1"/>
  <c r="B64" i="1"/>
  <c r="C63" i="1"/>
  <c r="D63" i="1" s="1"/>
  <c r="B63" i="1"/>
  <c r="C62" i="1"/>
  <c r="D62" i="1" s="1"/>
  <c r="B62" i="1"/>
  <c r="D61" i="1"/>
  <c r="B61" i="1"/>
  <c r="C61" i="1" s="1"/>
  <c r="C60" i="1"/>
  <c r="B60" i="1"/>
  <c r="C59" i="1"/>
  <c r="D59" i="1" s="1"/>
  <c r="B59" i="1"/>
  <c r="C58" i="1"/>
  <c r="D58" i="1" s="1"/>
  <c r="B58" i="1"/>
  <c r="C57" i="1"/>
  <c r="D57" i="1" s="1"/>
  <c r="B57" i="1"/>
  <c r="C56" i="1"/>
  <c r="D56" i="1" s="1"/>
  <c r="B56" i="1"/>
  <c r="C55" i="1"/>
  <c r="D55" i="1" s="1"/>
  <c r="B55" i="1"/>
  <c r="D54" i="1"/>
  <c r="C54" i="1"/>
  <c r="B54" i="1"/>
  <c r="B53" i="1"/>
  <c r="C53" i="1" s="1"/>
  <c r="D53" i="1" s="1"/>
  <c r="B52" i="1"/>
  <c r="C51" i="1"/>
  <c r="B51" i="1"/>
  <c r="B50" i="1"/>
  <c r="B49" i="1"/>
  <c r="C48" i="1"/>
  <c r="B48" i="1"/>
  <c r="C47" i="1"/>
  <c r="D47" i="1" s="1"/>
  <c r="B47" i="1"/>
  <c r="D46" i="1"/>
  <c r="C46" i="1"/>
  <c r="B46" i="1"/>
  <c r="B45" i="1"/>
  <c r="C45" i="1" s="1"/>
  <c r="D45" i="1" s="1"/>
  <c r="B44" i="1"/>
  <c r="C43" i="1"/>
  <c r="B43" i="1"/>
  <c r="B42" i="1"/>
  <c r="B41" i="1"/>
  <c r="B40" i="1"/>
  <c r="D39" i="1"/>
  <c r="C39" i="1"/>
  <c r="B39" i="1"/>
  <c r="D38" i="1"/>
  <c r="C38" i="1"/>
  <c r="B38" i="1"/>
  <c r="B37" i="1"/>
  <c r="C37" i="1" s="1"/>
  <c r="D37" i="1" s="1"/>
  <c r="B36" i="1"/>
  <c r="C35" i="1"/>
  <c r="B35" i="1"/>
  <c r="B34" i="1"/>
  <c r="B33" i="1"/>
  <c r="B32" i="1"/>
  <c r="C31" i="1"/>
  <c r="D31" i="1" s="1"/>
  <c r="B31" i="1"/>
  <c r="D30" i="1"/>
  <c r="C30" i="1"/>
  <c r="B30" i="1"/>
  <c r="B29" i="1"/>
  <c r="C29" i="1" s="1"/>
  <c r="D29" i="1" s="1"/>
  <c r="B28" i="1"/>
  <c r="C27" i="1"/>
  <c r="B27" i="1"/>
  <c r="B26" i="1"/>
  <c r="B25" i="1"/>
  <c r="B24" i="1"/>
  <c r="C23" i="1"/>
  <c r="D23" i="1" s="1"/>
  <c r="B23" i="1"/>
  <c r="D22" i="1"/>
  <c r="C22" i="1"/>
  <c r="B22" i="1"/>
  <c r="B21" i="1"/>
  <c r="C21" i="1" s="1"/>
  <c r="D21" i="1" s="1"/>
  <c r="B20" i="1"/>
  <c r="C19" i="1"/>
  <c r="B19" i="1"/>
  <c r="E6" i="1"/>
  <c r="C25" i="1" l="1"/>
  <c r="D25" i="1" s="1"/>
  <c r="D41" i="1"/>
  <c r="C41" i="1"/>
  <c r="E91" i="1"/>
  <c r="D91" i="1"/>
  <c r="C91" i="1"/>
  <c r="J91" i="1"/>
  <c r="I91" i="1"/>
  <c r="H91" i="1"/>
  <c r="G91" i="1"/>
  <c r="I129" i="1"/>
  <c r="H129" i="1"/>
  <c r="G129" i="1"/>
  <c r="F129" i="1"/>
  <c r="E129" i="1"/>
  <c r="D129" i="1"/>
  <c r="J129" i="1"/>
  <c r="C129" i="1"/>
  <c r="H4" i="3"/>
  <c r="C39" i="2"/>
  <c r="D39" i="2" s="1"/>
  <c r="C38" i="2"/>
  <c r="D38" i="2" s="1"/>
  <c r="C41" i="2"/>
  <c r="D41" i="2" s="1"/>
  <c r="C37" i="2"/>
  <c r="D37" i="2" s="1"/>
  <c r="C40" i="2"/>
  <c r="D40" i="2" s="1"/>
  <c r="C36" i="2"/>
  <c r="D36" i="2" s="1"/>
  <c r="C20" i="1"/>
  <c r="D20" i="1" s="1"/>
  <c r="C49" i="1"/>
  <c r="D49" i="1" s="1"/>
  <c r="F91" i="1"/>
  <c r="C33" i="1"/>
  <c r="D33" i="1" s="1"/>
  <c r="H96" i="1"/>
  <c r="G96" i="1"/>
  <c r="F96" i="1"/>
  <c r="J96" i="1"/>
  <c r="I96" i="1"/>
  <c r="E96" i="1"/>
  <c r="D96" i="1"/>
  <c r="C96" i="1"/>
  <c r="D28" i="1"/>
  <c r="C28" i="1"/>
  <c r="I87" i="1"/>
  <c r="H87" i="1"/>
  <c r="G87" i="1"/>
  <c r="J87" i="1"/>
  <c r="F87" i="1"/>
  <c r="E87" i="1"/>
  <c r="D87" i="1"/>
  <c r="G99" i="1"/>
  <c r="F99" i="1"/>
  <c r="E99" i="1"/>
  <c r="D99" i="1"/>
  <c r="C99" i="1"/>
  <c r="J99" i="1"/>
  <c r="I99" i="1"/>
  <c r="H99" i="1"/>
  <c r="I79" i="1"/>
  <c r="G79" i="1"/>
  <c r="J79" i="1"/>
  <c r="F79" i="1"/>
  <c r="H79" i="1"/>
  <c r="E79" i="1"/>
  <c r="D79" i="1"/>
  <c r="C24" i="1"/>
  <c r="D24" i="1" s="1"/>
  <c r="C36" i="1"/>
  <c r="D36" i="1" s="1"/>
  <c r="D44" i="1"/>
  <c r="C44" i="1"/>
  <c r="C87" i="1"/>
  <c r="C32" i="1"/>
  <c r="D32" i="1" s="1"/>
  <c r="F19" i="1"/>
  <c r="C40" i="1"/>
  <c r="D40" i="1" s="1"/>
  <c r="D48" i="1"/>
  <c r="D52" i="1"/>
  <c r="C52" i="1"/>
  <c r="C77" i="1"/>
  <c r="D77" i="1" s="1"/>
  <c r="J83" i="1"/>
  <c r="F90" i="1"/>
  <c r="E90" i="1"/>
  <c r="D90" i="1"/>
  <c r="I105" i="1"/>
  <c r="H105" i="1"/>
  <c r="G105" i="1"/>
  <c r="F105" i="1"/>
  <c r="E105" i="1"/>
  <c r="G107" i="1"/>
  <c r="F107" i="1"/>
  <c r="E107" i="1"/>
  <c r="D107" i="1"/>
  <c r="C107" i="1"/>
  <c r="I121" i="1"/>
  <c r="H121" i="1"/>
  <c r="G121" i="1"/>
  <c r="F121" i="1"/>
  <c r="E121" i="1"/>
  <c r="D121" i="1"/>
  <c r="H138" i="1"/>
  <c r="G138" i="1"/>
  <c r="F138" i="1"/>
  <c r="E138" i="1"/>
  <c r="D138" i="1"/>
  <c r="C138" i="1"/>
  <c r="C26" i="1"/>
  <c r="D26" i="1" s="1"/>
  <c r="C34" i="1"/>
  <c r="D34" i="1" s="1"/>
  <c r="C42" i="1"/>
  <c r="D42" i="1" s="1"/>
  <c r="C50" i="1"/>
  <c r="D50" i="1" s="1"/>
  <c r="D76" i="1"/>
  <c r="I95" i="1"/>
  <c r="H95" i="1"/>
  <c r="G95" i="1"/>
  <c r="I113" i="1"/>
  <c r="H113" i="1"/>
  <c r="G113" i="1"/>
  <c r="F113" i="1"/>
  <c r="E113" i="1"/>
  <c r="D113" i="1"/>
  <c r="C121" i="1"/>
  <c r="I138" i="1"/>
  <c r="H130" i="1"/>
  <c r="G130" i="1"/>
  <c r="F130" i="1"/>
  <c r="E130" i="1"/>
  <c r="D130" i="1"/>
  <c r="C130" i="1"/>
  <c r="C75" i="1"/>
  <c r="G89" i="1"/>
  <c r="F89" i="1"/>
  <c r="E89" i="1"/>
  <c r="D27" i="1"/>
  <c r="D35" i="1"/>
  <c r="D51" i="1"/>
  <c r="D74" i="1"/>
  <c r="D75" i="1"/>
  <c r="F82" i="1"/>
  <c r="D82" i="1"/>
  <c r="C89" i="1"/>
  <c r="H90" i="1"/>
  <c r="D95" i="1"/>
  <c r="H98" i="1"/>
  <c r="G98" i="1"/>
  <c r="F98" i="1"/>
  <c r="E98" i="1"/>
  <c r="D98" i="1"/>
  <c r="J105" i="1"/>
  <c r="J107" i="1"/>
  <c r="J113" i="1"/>
  <c r="H122" i="1"/>
  <c r="G122" i="1"/>
  <c r="F122" i="1"/>
  <c r="E122" i="1"/>
  <c r="D122" i="1"/>
  <c r="C122" i="1"/>
  <c r="I130" i="1"/>
  <c r="E83" i="1"/>
  <c r="C83" i="1"/>
  <c r="D19" i="1"/>
  <c r="D43" i="1"/>
  <c r="E19" i="1"/>
  <c r="C74" i="1"/>
  <c r="G81" i="1"/>
  <c r="E81" i="1"/>
  <c r="C82" i="1"/>
  <c r="F83" i="1"/>
  <c r="H88" i="1"/>
  <c r="G88" i="1"/>
  <c r="F88" i="1"/>
  <c r="D89" i="1"/>
  <c r="I90" i="1"/>
  <c r="E95" i="1"/>
  <c r="C98" i="1"/>
  <c r="H106" i="1"/>
  <c r="G106" i="1"/>
  <c r="F106" i="1"/>
  <c r="E106" i="1"/>
  <c r="D106" i="1"/>
  <c r="H114" i="1"/>
  <c r="G114" i="1"/>
  <c r="F114" i="1"/>
  <c r="E114" i="1"/>
  <c r="D114" i="1"/>
  <c r="C114" i="1"/>
  <c r="I122" i="1"/>
  <c r="J130" i="1"/>
  <c r="D60" i="1"/>
  <c r="D68" i="1"/>
  <c r="C73" i="1"/>
  <c r="D73" i="1" s="1"/>
  <c r="H80" i="1"/>
  <c r="F80" i="1"/>
  <c r="C81" i="1"/>
  <c r="E82" i="1"/>
  <c r="G83" i="1"/>
  <c r="C88" i="1"/>
  <c r="H89" i="1"/>
  <c r="J90" i="1"/>
  <c r="F95" i="1"/>
  <c r="G97" i="1"/>
  <c r="F97" i="1"/>
  <c r="E97" i="1"/>
  <c r="I98" i="1"/>
  <c r="C106" i="1"/>
  <c r="I114" i="1"/>
  <c r="J122" i="1"/>
  <c r="I137" i="1"/>
  <c r="H137" i="1"/>
  <c r="G137" i="1"/>
  <c r="F137" i="1"/>
  <c r="E137" i="1"/>
  <c r="D137" i="1"/>
  <c r="J115" i="1"/>
  <c r="J123" i="1"/>
  <c r="J131" i="1"/>
  <c r="J84" i="1"/>
  <c r="I85" i="1"/>
  <c r="J92" i="1"/>
  <c r="I93" i="1"/>
  <c r="J100" i="1"/>
  <c r="I101" i="1"/>
  <c r="G103" i="1"/>
  <c r="F104" i="1"/>
  <c r="J108" i="1"/>
  <c r="I109" i="1"/>
  <c r="G111" i="1"/>
  <c r="F112" i="1"/>
  <c r="C115" i="1"/>
  <c r="J116" i="1"/>
  <c r="I117" i="1"/>
  <c r="G119" i="1"/>
  <c r="F120" i="1"/>
  <c r="C123" i="1"/>
  <c r="J124" i="1"/>
  <c r="I125" i="1"/>
  <c r="G127" i="1"/>
  <c r="F128" i="1"/>
  <c r="C131" i="1"/>
  <c r="J132" i="1"/>
  <c r="I133" i="1"/>
  <c r="H134" i="1"/>
  <c r="G135" i="1"/>
  <c r="F136" i="1"/>
  <c r="J85" i="1"/>
  <c r="J93" i="1"/>
  <c r="J101" i="1"/>
  <c r="H103" i="1"/>
  <c r="G104" i="1"/>
  <c r="J109" i="1"/>
  <c r="H111" i="1"/>
  <c r="G112" i="1"/>
  <c r="D115" i="1"/>
  <c r="J117" i="1"/>
  <c r="H119" i="1"/>
  <c r="G120" i="1"/>
  <c r="D123" i="1"/>
  <c r="J125" i="1"/>
  <c r="H127" i="1"/>
  <c r="G128" i="1"/>
  <c r="D131" i="1"/>
  <c r="J133" i="1"/>
  <c r="H135" i="1"/>
  <c r="G136" i="1"/>
  <c r="I103" i="1"/>
  <c r="H104" i="1"/>
  <c r="I111" i="1"/>
  <c r="H112" i="1"/>
  <c r="E115" i="1"/>
  <c r="I119" i="1"/>
  <c r="H120" i="1"/>
  <c r="E123" i="1"/>
  <c r="I127" i="1"/>
  <c r="H128" i="1"/>
  <c r="E131" i="1"/>
  <c r="I135" i="1"/>
  <c r="H136" i="1"/>
  <c r="J103" i="1"/>
  <c r="I104" i="1"/>
  <c r="J111" i="1"/>
  <c r="I112" i="1"/>
  <c r="F115" i="1"/>
  <c r="I120" i="1"/>
  <c r="F123" i="1"/>
  <c r="I128" i="1"/>
  <c r="F131" i="1"/>
  <c r="I136" i="1"/>
  <c r="D42" i="2" l="1"/>
  <c r="G19" i="1"/>
  <c r="E20" i="1"/>
  <c r="F20" i="1" l="1"/>
  <c r="G20" i="1" s="1"/>
  <c r="I19" i="1"/>
  <c r="H19" i="1"/>
  <c r="J19" i="1"/>
  <c r="I20" i="1" l="1"/>
  <c r="J20" i="1"/>
  <c r="H20" i="1"/>
  <c r="E21" i="1"/>
  <c r="F21" i="1" l="1"/>
  <c r="G21" i="1" s="1"/>
  <c r="H21" i="1" l="1"/>
  <c r="I21" i="1"/>
  <c r="J21" i="1"/>
  <c r="E22" i="1"/>
  <c r="F22" i="1" l="1"/>
  <c r="G22" i="1" s="1"/>
  <c r="I22" i="1" l="1"/>
  <c r="H22" i="1"/>
  <c r="J22" i="1"/>
  <c r="E23" i="1"/>
  <c r="F23" i="1" l="1"/>
  <c r="G23" i="1"/>
  <c r="E24" i="1"/>
  <c r="F24" i="1" l="1"/>
  <c r="G24" i="1" s="1"/>
  <c r="J23" i="1"/>
  <c r="H23" i="1"/>
  <c r="I23" i="1"/>
  <c r="I24" i="1" l="1"/>
  <c r="H24" i="1"/>
  <c r="J24" i="1"/>
  <c r="E25" i="1"/>
  <c r="F25" i="1" l="1"/>
  <c r="G25" i="1" s="1"/>
  <c r="H25" i="1" l="1"/>
  <c r="J25" i="1"/>
  <c r="I25" i="1"/>
  <c r="E26" i="1"/>
  <c r="F26" i="1" l="1"/>
  <c r="G26" i="1"/>
  <c r="E27" i="1"/>
  <c r="F27" i="1" l="1"/>
  <c r="G27" i="1" s="1"/>
  <c r="I26" i="1"/>
  <c r="H26" i="1"/>
  <c r="J26" i="1"/>
  <c r="I27" i="1" l="1"/>
  <c r="H27" i="1"/>
  <c r="J27" i="1"/>
  <c r="E28" i="1"/>
  <c r="F28" i="1" l="1"/>
  <c r="G28" i="1"/>
  <c r="H28" i="1" l="1"/>
  <c r="I28" i="1"/>
  <c r="J28" i="1"/>
  <c r="E29" i="1"/>
  <c r="F29" i="1" l="1"/>
  <c r="G29" i="1" s="1"/>
  <c r="H29" i="1" l="1"/>
  <c r="I29" i="1"/>
  <c r="J29" i="1"/>
  <c r="E30" i="1"/>
  <c r="F30" i="1" l="1"/>
  <c r="G30" i="1" s="1"/>
  <c r="I30" i="1" l="1"/>
  <c r="H30" i="1"/>
  <c r="J30" i="1"/>
  <c r="E31" i="1"/>
  <c r="F31" i="1" l="1"/>
  <c r="G31" i="1"/>
  <c r="E32" i="1"/>
  <c r="F32" i="1" l="1"/>
  <c r="G32" i="1" s="1"/>
  <c r="J31" i="1"/>
  <c r="I31" i="1"/>
  <c r="H31" i="1"/>
  <c r="J32" i="1" l="1"/>
  <c r="I32" i="1"/>
  <c r="H32" i="1"/>
  <c r="E33" i="1"/>
  <c r="F33" i="1" l="1"/>
  <c r="G33" i="1" s="1"/>
  <c r="I33" i="1" l="1"/>
  <c r="H33" i="1"/>
  <c r="J33" i="1"/>
  <c r="E34" i="1"/>
  <c r="F34" i="1" l="1"/>
  <c r="G34" i="1" s="1"/>
  <c r="H34" i="1" l="1"/>
  <c r="I34" i="1"/>
  <c r="J34" i="1"/>
  <c r="E35" i="1"/>
  <c r="F35" i="1" l="1"/>
  <c r="G35" i="1" s="1"/>
  <c r="I35" i="1" l="1"/>
  <c r="H35" i="1"/>
  <c r="J35" i="1"/>
  <c r="E36" i="1"/>
  <c r="F36" i="1" l="1"/>
  <c r="G36" i="1"/>
  <c r="J36" i="1" l="1"/>
  <c r="I36" i="1"/>
  <c r="H36" i="1"/>
  <c r="E37" i="1"/>
  <c r="F37" i="1" l="1"/>
  <c r="G37" i="1" s="1"/>
  <c r="H37" i="1" l="1"/>
  <c r="I37" i="1"/>
  <c r="J37" i="1"/>
  <c r="E38" i="1"/>
  <c r="F38" i="1" l="1"/>
  <c r="G38" i="1" s="1"/>
  <c r="I38" i="1" l="1"/>
  <c r="H38" i="1"/>
  <c r="J38" i="1"/>
  <c r="E39" i="1"/>
  <c r="F39" i="1" l="1"/>
  <c r="G39" i="1"/>
  <c r="E40" i="1"/>
  <c r="F40" i="1" l="1"/>
  <c r="G40" i="1" s="1"/>
  <c r="H39" i="1"/>
  <c r="J39" i="1"/>
  <c r="I39" i="1"/>
  <c r="J40" i="1" l="1"/>
  <c r="H40" i="1"/>
  <c r="I40" i="1"/>
  <c r="E41" i="1"/>
  <c r="F41" i="1" l="1"/>
  <c r="G41" i="1" s="1"/>
  <c r="I41" i="1" l="1"/>
  <c r="H41" i="1"/>
  <c r="J41" i="1"/>
  <c r="E42" i="1"/>
  <c r="F42" i="1" l="1"/>
  <c r="E43" i="1"/>
  <c r="G42" i="1"/>
  <c r="F43" i="1" l="1"/>
  <c r="G43" i="1" s="1"/>
  <c r="I42" i="1"/>
  <c r="H42" i="1"/>
  <c r="J42" i="1"/>
  <c r="I43" i="1" l="1"/>
  <c r="H43" i="1"/>
  <c r="J43" i="1"/>
  <c r="E44" i="1"/>
  <c r="F44" i="1" l="1"/>
  <c r="G44" i="1" s="1"/>
  <c r="J44" i="1" l="1"/>
  <c r="H44" i="1"/>
  <c r="I44" i="1"/>
  <c r="E45" i="1"/>
  <c r="F45" i="1" l="1"/>
  <c r="G45" i="1" s="1"/>
  <c r="H45" i="1" l="1"/>
  <c r="I45" i="1"/>
  <c r="J45" i="1"/>
  <c r="E46" i="1"/>
  <c r="F46" i="1" l="1"/>
  <c r="G46" i="1" s="1"/>
  <c r="I46" i="1" l="1"/>
  <c r="H46" i="1"/>
  <c r="J46" i="1"/>
  <c r="E47" i="1"/>
  <c r="F47" i="1" l="1"/>
  <c r="G47" i="1"/>
  <c r="E48" i="1"/>
  <c r="F48" i="1" l="1"/>
  <c r="G48" i="1"/>
  <c r="J47" i="1"/>
  <c r="I47" i="1"/>
  <c r="H47" i="1"/>
  <c r="J48" i="1" l="1"/>
  <c r="I48" i="1"/>
  <c r="H48" i="1"/>
  <c r="E49" i="1"/>
  <c r="F49" i="1" l="1"/>
  <c r="G49" i="1" s="1"/>
  <c r="I49" i="1" l="1"/>
  <c r="H49" i="1"/>
  <c r="J49" i="1"/>
  <c r="E50" i="1"/>
  <c r="F50" i="1" l="1"/>
  <c r="G50" i="1"/>
  <c r="H50" i="1" l="1"/>
  <c r="I50" i="1"/>
  <c r="J50" i="1"/>
  <c r="E51" i="1"/>
  <c r="F51" i="1" l="1"/>
  <c r="G51" i="1" s="1"/>
  <c r="I51" i="1" l="1"/>
  <c r="H51" i="1"/>
  <c r="J51" i="1"/>
  <c r="E52" i="1"/>
  <c r="F52" i="1" l="1"/>
  <c r="G52" i="1" s="1"/>
  <c r="J52" i="1" l="1"/>
  <c r="I52" i="1"/>
  <c r="H52" i="1"/>
  <c r="E53" i="1"/>
  <c r="F53" i="1" l="1"/>
  <c r="G53" i="1" s="1"/>
  <c r="H53" i="1" l="1"/>
  <c r="I53" i="1"/>
  <c r="J53" i="1"/>
  <c r="E54" i="1"/>
  <c r="F54" i="1" l="1"/>
  <c r="G54" i="1" s="1"/>
  <c r="I54" i="1" l="1"/>
  <c r="H54" i="1"/>
  <c r="J54" i="1"/>
  <c r="E55" i="1"/>
  <c r="F55" i="1" l="1"/>
  <c r="G55" i="1"/>
  <c r="H55" i="1" l="1"/>
  <c r="J55" i="1"/>
  <c r="I55" i="1"/>
  <c r="E56" i="1"/>
  <c r="F56" i="1" l="1"/>
  <c r="G56" i="1"/>
  <c r="E57" i="1" s="1"/>
  <c r="F57" i="1" l="1"/>
  <c r="G57" i="1"/>
  <c r="J56" i="1"/>
  <c r="I56" i="1"/>
  <c r="H56" i="1"/>
  <c r="H57" i="1" l="1"/>
  <c r="J57" i="1"/>
  <c r="I57" i="1"/>
  <c r="E58" i="1"/>
  <c r="F58" i="1" l="1"/>
  <c r="G58" i="1" s="1"/>
  <c r="H58" i="1" l="1"/>
  <c r="J58" i="1"/>
  <c r="I58" i="1"/>
  <c r="E59" i="1"/>
  <c r="F59" i="1" l="1"/>
  <c r="G59" i="1" s="1"/>
  <c r="H59" i="1" l="1"/>
  <c r="J59" i="1"/>
  <c r="I59" i="1"/>
  <c r="E60" i="1"/>
  <c r="F60" i="1" l="1"/>
  <c r="G60" i="1" s="1"/>
  <c r="H60" i="1" l="1"/>
  <c r="J60" i="1"/>
  <c r="I60" i="1"/>
  <c r="E61" i="1"/>
  <c r="F61" i="1" l="1"/>
  <c r="G61" i="1" s="1"/>
  <c r="H61" i="1" l="1"/>
  <c r="I61" i="1"/>
  <c r="J61" i="1"/>
  <c r="E62" i="1"/>
  <c r="F62" i="1" l="1"/>
  <c r="G62" i="1" s="1"/>
  <c r="I62" i="1" l="1"/>
  <c r="H62" i="1"/>
  <c r="J62" i="1"/>
  <c r="E63" i="1"/>
  <c r="F63" i="1" l="1"/>
  <c r="G63" i="1"/>
  <c r="H63" i="1" l="1"/>
  <c r="J63" i="1"/>
  <c r="I63" i="1"/>
  <c r="E64" i="1"/>
  <c r="F64" i="1" l="1"/>
  <c r="E65" i="1"/>
  <c r="G64" i="1"/>
  <c r="F65" i="1" l="1"/>
  <c r="G65" i="1"/>
  <c r="I64" i="1"/>
  <c r="H64" i="1"/>
  <c r="J64" i="1"/>
  <c r="I65" i="1" l="1"/>
  <c r="H65" i="1"/>
  <c r="J65" i="1"/>
  <c r="E66" i="1"/>
  <c r="F66" i="1" l="1"/>
  <c r="G66" i="1" s="1"/>
  <c r="I66" i="1" l="1"/>
  <c r="H66" i="1"/>
  <c r="J66" i="1"/>
  <c r="E67" i="1"/>
  <c r="F67" i="1" l="1"/>
  <c r="G67" i="1" s="1"/>
  <c r="I67" i="1" l="1"/>
  <c r="H67" i="1"/>
  <c r="J67" i="1"/>
  <c r="E68" i="1"/>
  <c r="F68" i="1" l="1"/>
  <c r="G68" i="1" s="1"/>
  <c r="I68" i="1" l="1"/>
  <c r="H68" i="1"/>
  <c r="J68" i="1"/>
  <c r="E69" i="1"/>
  <c r="F69" i="1" l="1"/>
  <c r="G69" i="1" s="1"/>
  <c r="J69" i="1" l="1"/>
  <c r="I69" i="1"/>
  <c r="H69" i="1"/>
  <c r="E70" i="1"/>
  <c r="F70" i="1" l="1"/>
  <c r="G70" i="1" s="1"/>
  <c r="I70" i="1" l="1"/>
  <c r="H70" i="1"/>
  <c r="J70" i="1"/>
  <c r="E71" i="1"/>
  <c r="F71" i="1" l="1"/>
  <c r="G71" i="1" s="1"/>
  <c r="J71" i="1" l="1"/>
  <c r="H71" i="1"/>
  <c r="I71" i="1"/>
  <c r="E72" i="1"/>
  <c r="F72" i="1" l="1"/>
  <c r="G72" i="1" s="1"/>
  <c r="I72" i="1" l="1"/>
  <c r="J72" i="1"/>
  <c r="H72" i="1"/>
  <c r="E73" i="1"/>
  <c r="F73" i="1" l="1"/>
  <c r="G73" i="1"/>
  <c r="E74" i="1"/>
  <c r="J73" i="1" l="1"/>
  <c r="I73" i="1"/>
  <c r="H73" i="1"/>
  <c r="F74" i="1"/>
  <c r="G74" i="1" s="1"/>
  <c r="J74" i="1" l="1"/>
  <c r="I74" i="1"/>
  <c r="H74" i="1"/>
  <c r="E75" i="1"/>
  <c r="F75" i="1" l="1"/>
  <c r="G75" i="1"/>
  <c r="I75" i="1" l="1"/>
  <c r="H75" i="1"/>
  <c r="J75" i="1"/>
  <c r="E76" i="1"/>
  <c r="F76" i="1" l="1"/>
  <c r="G76" i="1" s="1"/>
  <c r="I76" i="1" l="1"/>
  <c r="H76" i="1"/>
  <c r="J76" i="1"/>
  <c r="E77" i="1"/>
  <c r="F77" i="1" l="1"/>
  <c r="G77" i="1" s="1"/>
  <c r="J77" i="1" l="1"/>
  <c r="I77" i="1"/>
  <c r="H77" i="1"/>
  <c r="E78" i="1"/>
  <c r="F78" i="1" l="1"/>
  <c r="G6" i="1" s="1"/>
  <c r="G78" i="1" l="1"/>
  <c r="H78" i="1" l="1"/>
  <c r="I6" i="1" s="1"/>
  <c r="I78" i="1"/>
  <c r="K6" i="1" s="1"/>
  <c r="M6" i="1"/>
  <c r="J7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6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Campo de entrada. Informe um valor válido conforme a descrição ao lado.</t>
        </r>
      </text>
    </comment>
    <comment ref="C7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Campo de entrada. Informe um valor válido conforme a descrição ao lado.</t>
        </r>
      </text>
    </comment>
    <comment ref="C8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Campo de entrada. Informe um valor válido conforme a descrição ao lado.</t>
        </r>
      </text>
    </comment>
    <comment ref="C9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>Campo de entrada. Informe um valor válido conforme a descrição ao lado.</t>
        </r>
      </text>
    </comment>
    <comment ref="C10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>Campo de entrada. Informe um valor válido conforme a descrição ao lado.</t>
        </r>
      </text>
    </comment>
    <comment ref="C11" authorId="0" shapeId="0" xr:uid="{00000000-0006-0000-0000-000006000000}">
      <text>
        <r>
          <rPr>
            <sz val="11"/>
            <color theme="1"/>
            <rFont val="Aptos Narrow"/>
            <family val="2"/>
            <scheme val="minor"/>
          </rPr>
          <t>Campo de entrada. Informe um valor válido conforme a descrição ao lado.</t>
        </r>
      </text>
    </comment>
    <comment ref="F18" authorId="0" shapeId="0" xr:uid="{00000000-0006-0000-0000-000007000000}">
      <text>
        <r>
          <rPr>
            <sz val="11"/>
            <color theme="1"/>
            <rFont val="Aptos Narrow"/>
            <family val="2"/>
            <scheme val="minor"/>
          </rPr>
          <t>Rendimento do mês = (Patrimônio inicial + aporte do mês) × taxa mensal estimada.</t>
        </r>
      </text>
    </comment>
    <comment ref="I18" authorId="0" shapeId="0" xr:uid="{00000000-0006-0000-0000-000008000000}">
      <text>
        <r>
          <rPr>
            <sz val="11"/>
            <color theme="1"/>
            <rFont val="Aptos Narrow"/>
            <family val="2"/>
            <scheme val="minor"/>
          </rPr>
          <t>Dividendos estimados = patrimônio final do mês × dividend yield mensal informado.</t>
        </r>
      </text>
    </comment>
    <comment ref="J18" authorId="0" shapeId="0" xr:uid="{00000000-0006-0000-0000-000009000000}">
      <text>
        <r>
          <rPr>
            <sz val="11"/>
            <color theme="1"/>
            <rFont val="Aptos Narrow"/>
            <family val="2"/>
            <scheme val="minor"/>
          </rPr>
          <t>Cotas estimadas = patrimônio final ÷ valor da cota informado. É uma aproximação para fins educacionais.</t>
        </r>
      </text>
    </comment>
  </commentList>
</comments>
</file>

<file path=xl/sharedStrings.xml><?xml version="1.0" encoding="utf-8"?>
<sst xmlns="http://schemas.openxmlformats.org/spreadsheetml/2006/main" count="113" uniqueCount="68">
  <si>
    <t>SIMULADOR DE INVESTIMENTOS EM FUNDOS IMOBILIÁRIOS</t>
  </si>
  <si>
    <t>Ferramenta educacional para simular patrimônio, aportes e dividendos ao longo do tempo.</t>
  </si>
  <si>
    <t>PARÂMETROS DA SIMULAÇÃO</t>
  </si>
  <si>
    <t>Total investido</t>
  </si>
  <si>
    <t>Patrimônio final</t>
  </si>
  <si>
    <t>Dividendos mensais estimados</t>
  </si>
  <si>
    <t>Cotas estimadas</t>
  </si>
  <si>
    <t>Rendimentos acumulados</t>
  </si>
  <si>
    <t>Investimento inicial</t>
  </si>
  <si>
    <t>Aporte mensal</t>
  </si>
  <si>
    <t>Prazo (meses)</t>
  </si>
  <si>
    <t>Taxa de rendimento mensal</t>
  </si>
  <si>
    <t>Valor da cota do FII</t>
  </si>
  <si>
    <t>Dividend yield mensal estimado</t>
  </si>
  <si>
    <t>Observação</t>
  </si>
  <si>
    <t>Altere apenas as células amarelas.</t>
  </si>
  <si>
    <t>COMO UTILIZAR</t>
  </si>
  <si>
    <t>1. Informe o investimento inicial e o aporte mensal.  2. Informe o prazo em meses. 3. Informe a taxa mensal estimada.  4. Informe o valor da cota e o dividend yield. 5. Consulte os indicadores e gráficos.</t>
  </si>
  <si>
    <t>PREMISSAS: o aporte é considerado no início de cada mês; o rendimento mensal é aplicado sobre o patrimônio após o aporte; dividendos são estimados pelo patrimônio final do mês × DY mensal. A simulação é educacional e não representa garantia de rentabilidade.</t>
  </si>
  <si>
    <t>Mês</t>
  </si>
  <si>
    <t>Total aportado acumulado</t>
  </si>
  <si>
    <t>Patrimônio inicial</t>
  </si>
  <si>
    <t>Rendimento do mês</t>
  </si>
  <si>
    <t>Dividendos estimados</t>
  </si>
  <si>
    <t>Cotas acumuladas</t>
  </si>
  <si>
    <t>Uso educacional • Os resultados são estimativas matemáticas e não constituem recomendação de investimento.</t>
  </si>
  <si>
    <t>CONFIGURAÇÕES</t>
  </si>
  <si>
    <t>Salário</t>
  </si>
  <si>
    <t>Rendimento Carteira</t>
  </si>
  <si>
    <t>Sugestão de Investimento (30%)</t>
  </si>
  <si>
    <t>INVESTIMENTO MENSAL</t>
  </si>
  <si>
    <t>Quanto investir por mês ?</t>
  </si>
  <si>
    <t>Por Quantos Anos ?</t>
  </si>
  <si>
    <t>Taxa de Rendimento mensal ?</t>
  </si>
  <si>
    <t>Patrimônio acumulado ?</t>
  </si>
  <si>
    <t>Dividendos Mensais ?</t>
  </si>
  <si>
    <t xml:space="preserve"> Cenários</t>
  </si>
  <si>
    <t>Dividendo</t>
  </si>
  <si>
    <t>Quanto em 2 Anos ?</t>
  </si>
  <si>
    <t>Quanto em 5 Anos ?</t>
  </si>
  <si>
    <t>Quanto em 10 Anos ?</t>
  </si>
  <si>
    <t>Quanto em 20 Anos ?</t>
  </si>
  <si>
    <t>Quanto em 30 Anos ?</t>
  </si>
  <si>
    <t>PERFIL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</si>
  <si>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</si>
  <si>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</si>
  <si>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</si>
  <si>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</si>
  <si>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</si>
  <si>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</si>
  <si>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</si>
  <si>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</si>
  <si>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</si>
  <si>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</si>
  <si>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</si>
  <si>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</si>
  <si>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%</t>
  </si>
  <si>
    <t>Conservador</t>
  </si>
  <si>
    <t>Moderado-TIJOLO</t>
  </si>
  <si>
    <t>Agressivo</t>
  </si>
  <si>
    <t>GUIA RÁPIDO DAS FÓRMULAS</t>
  </si>
  <si>
    <t>Investimento inicial + (aporte mensal × quantidade de meses).</t>
  </si>
  <si>
    <t>Patrimônio inicial + aporte do mês + rendimento do mês.</t>
  </si>
  <si>
    <t>Rendimento mensal</t>
  </si>
  <si>
    <t>(Patrimônio inicial + aporte mensal) × taxa de rendimento mensal.</t>
  </si>
  <si>
    <t>Patrimônio final − total aportado acumulado.</t>
  </si>
  <si>
    <t>Patrimônio final × dividend yield mensal estimado.</t>
  </si>
  <si>
    <t>Patrimônio final ÷ valor da cota. É uma aproximação e não simula compras fracionadas, taxas ou variações de preço.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</si>
</sst>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5" formatCode="\R\$\ #,##0.00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sz val="11"/>
      <color theme="1"/>
      <name val="Segoe UI Semibold"/>
      <family val="2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8"/>
      <color rgb="FFFFFFFF"/>
      <name val="Aptos Narrow"/>
    </font>
    <font>
      <i/>
      <sz val="10"/>
      <color rgb="FF263238"/>
      <name val="Aptos Narrow"/>
    </font>
    <font>
      <b/>
      <sz val="11"/>
      <color rgb="FFFFFFFF"/>
      <name val="Aptos Narrow"/>
    </font>
    <font>
      <sz val="11"/>
      <color rgb="FF263238"/>
      <name val="Aptos Narrow"/>
    </font>
    <font>
      <b/>
      <sz val="11"/>
      <color rgb="FF263238"/>
      <name val="Aptos Narrow"/>
    </font>
    <font>
      <i/>
      <sz val="11"/>
      <color rgb="FF263238"/>
      <name val="Aptos Narrow"/>
    </font>
    <font>
      <b/>
      <sz val="9"/>
      <color rgb="FFFFFFFF"/>
      <name val="Aptos Narrow"/>
    </font>
    <font>
      <b/>
      <sz val="14"/>
      <color rgb="FF17324D"/>
      <name val="Aptos Narrow"/>
    </font>
    <font>
      <sz val="9"/>
      <color rgb="FF263238"/>
      <name val="Aptos Narrow"/>
    </font>
    <font>
      <i/>
      <sz val="9"/>
      <color rgb="FF263238"/>
      <name val="Aptos Narrow"/>
    </font>
    <font>
      <b/>
      <sz val="16"/>
      <color rgb="FFFFFFFF"/>
      <name val="Aptos Narrow"/>
    </font>
  </fonts>
  <fills count="1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17324D"/>
      </patternFill>
    </fill>
    <fill>
      <patternFill patternType="solid">
        <fgColor rgb="FF2F6690"/>
      </patternFill>
    </fill>
    <fill>
      <patternFill patternType="solid">
        <fgColor rgb="FFF3F5F7"/>
      </patternFill>
    </fill>
    <fill>
      <patternFill patternType="solid">
        <fgColor rgb="FFFFF4CC"/>
      </patternFill>
    </fill>
    <fill>
      <patternFill patternType="solid">
        <fgColor rgb="FFDCEAF5"/>
      </patternFill>
    </fill>
    <fill>
      <patternFill patternType="solid">
        <fgColor rgb="FFF8FAFB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3743705557422"/>
      </right>
      <top/>
      <bottom style="hair">
        <color theme="0" tint="-0.14993743705557422"/>
      </bottom>
      <diagonal/>
    </border>
    <border>
      <left style="hair">
        <color theme="0" tint="-0.14993743705557422"/>
      </left>
      <right style="hair">
        <color theme="0" tint="-0.14993743705557422"/>
      </right>
      <top/>
      <bottom style="hair">
        <color theme="0" tint="-0.14993743705557422"/>
      </bottom>
      <diagonal/>
    </border>
    <border>
      <left style="hair">
        <color theme="0" tint="-0.14993743705557422"/>
      </left>
      <right style="medium">
        <color indexed="64"/>
      </right>
      <top/>
      <bottom style="hair">
        <color theme="0" tint="-0.14993743705557422"/>
      </bottom>
      <diagonal/>
    </border>
    <border>
      <left style="medium">
        <color indexed="64"/>
      </left>
      <right style="hair">
        <color theme="0" tint="-0.14993743705557422"/>
      </right>
      <top style="hair">
        <color theme="0" tint="-0.14993743705557422"/>
      </top>
      <bottom style="hair">
        <color theme="0" tint="-0.14993743705557422"/>
      </bottom>
      <diagonal/>
    </border>
    <border>
      <left style="hair">
        <color theme="0" tint="-0.14993743705557422"/>
      </left>
      <right style="hair">
        <color theme="0" tint="-0.14993743705557422"/>
      </right>
      <top style="hair">
        <color theme="0" tint="-0.14993743705557422"/>
      </top>
      <bottom style="hair">
        <color theme="0" tint="-0.14993743705557422"/>
      </bottom>
      <diagonal/>
    </border>
    <border>
      <left style="hair">
        <color theme="0" tint="-0.14993743705557422"/>
      </left>
      <right style="medium">
        <color indexed="64"/>
      </right>
      <top style="hair">
        <color theme="0" tint="-0.14993743705557422"/>
      </top>
      <bottom style="hair">
        <color theme="0" tint="-0.14993743705557422"/>
      </bottom>
      <diagonal/>
    </border>
    <border>
      <left style="medium">
        <color indexed="64"/>
      </left>
      <right style="hair">
        <color theme="0" tint="-0.14993743705557422"/>
      </right>
      <top style="hair">
        <color theme="0" tint="-0.14993743705557422"/>
      </top>
      <bottom style="medium">
        <color indexed="64"/>
      </bottom>
      <diagonal/>
    </border>
    <border>
      <left style="hair">
        <color theme="0" tint="-0.14993743705557422"/>
      </left>
      <right style="hair">
        <color theme="0" tint="-0.14993743705557422"/>
      </right>
      <top style="hair">
        <color theme="0" tint="-0.14993743705557422"/>
      </top>
      <bottom style="medium">
        <color indexed="64"/>
      </bottom>
      <diagonal/>
    </border>
    <border>
      <left style="hair">
        <color theme="0" tint="-0.14993743705557422"/>
      </left>
      <right style="medium">
        <color indexed="64"/>
      </right>
      <top style="hair">
        <color theme="0" tint="-0.14993743705557422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D9DEE3"/>
      </left>
      <right style="thin">
        <color rgb="FFD9DEE3"/>
      </right>
      <top style="thin">
        <color rgb="FFD9DEE3"/>
      </top>
      <bottom style="thin">
        <color rgb="FFD9DEE3"/>
      </bottom>
      <diagonal/>
    </border>
  </borders>
  <cellStyleXfs count="4">
    <xf numFmtId="0" fontId="0" fillId="0" borderId="0"/>
    <xf numFmtId="44" fontId="1" fillId="0" borderId="0"/>
    <xf numFmtId="9" fontId="1" fillId="0" borderId="0"/>
    <xf numFmtId="0" fontId="2" fillId="2" borderId="0"/>
  </cellStyleXfs>
  <cellXfs count="91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5" borderId="1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center" vertical="center"/>
    </xf>
    <xf numFmtId="164" fontId="11" fillId="0" borderId="15" xfId="0" applyNumberFormat="1" applyFont="1" applyBorder="1" applyAlignment="1">
      <alignment horizontal="center"/>
    </xf>
    <xf numFmtId="164" fontId="10" fillId="0" borderId="15" xfId="1" applyNumberFormat="1" applyFont="1" applyBorder="1" applyAlignment="1">
      <alignment horizontal="center"/>
    </xf>
    <xf numFmtId="10" fontId="10" fillId="0" borderId="17" xfId="0" applyNumberFormat="1" applyFont="1" applyBorder="1" applyAlignment="1">
      <alignment horizontal="center"/>
    </xf>
    <xf numFmtId="164" fontId="10" fillId="6" borderId="19" xfId="0" applyNumberFormat="1" applyFont="1" applyFill="1" applyBorder="1" applyAlignment="1">
      <alignment horizontal="center"/>
    </xf>
    <xf numFmtId="0" fontId="2" fillId="2" borderId="0" xfId="3"/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9" fontId="0" fillId="8" borderId="0" xfId="0" applyNumberFormat="1" applyFill="1" applyAlignment="1">
      <alignment horizontal="center"/>
    </xf>
    <xf numFmtId="9" fontId="2" fillId="2" borderId="0" xfId="2" applyFont="1" applyFill="1"/>
    <xf numFmtId="0" fontId="4" fillId="9" borderId="0" xfId="0" applyFont="1" applyFill="1"/>
    <xf numFmtId="0" fontId="4" fillId="9" borderId="0" xfId="0" applyFont="1" applyFill="1" applyAlignment="1">
      <alignment horizontal="center"/>
    </xf>
    <xf numFmtId="0" fontId="16" fillId="12" borderId="24" xfId="0" applyFont="1" applyFill="1" applyBorder="1"/>
    <xf numFmtId="0" fontId="17" fillId="0" borderId="0" xfId="0" applyFont="1"/>
    <xf numFmtId="0" fontId="19" fillId="10" borderId="24" xfId="0" applyFont="1" applyFill="1" applyBorder="1" applyAlignment="1">
      <alignment horizontal="center" vertical="center" wrapText="1"/>
    </xf>
    <xf numFmtId="0" fontId="17" fillId="0" borderId="24" xfId="0" applyFont="1" applyBorder="1"/>
    <xf numFmtId="0" fontId="0" fillId="0" borderId="24" xfId="0" applyBorder="1" applyAlignment="1">
      <alignment wrapText="1"/>
    </xf>
    <xf numFmtId="0" fontId="22" fillId="0" borderId="0" xfId="0" applyFont="1" applyAlignment="1">
      <alignment horizontal="center"/>
    </xf>
    <xf numFmtId="0" fontId="0" fillId="0" borderId="0" xfId="0"/>
    <xf numFmtId="0" fontId="22" fillId="13" borderId="0" xfId="0" applyFont="1" applyFill="1" applyAlignment="1">
      <alignment wrapText="1"/>
    </xf>
    <xf numFmtId="0" fontId="15" fillId="10" borderId="0" xfId="0" applyFont="1" applyFill="1" applyAlignment="1">
      <alignment horizontal="left"/>
    </xf>
    <xf numFmtId="165" fontId="20" fillId="14" borderId="24" xfId="0" applyNumberFormat="1" applyFont="1" applyFill="1" applyBorder="1" applyAlignment="1">
      <alignment horizontal="center" vertical="center"/>
    </xf>
    <xf numFmtId="0" fontId="0" fillId="0" borderId="24" xfId="0" applyBorder="1"/>
    <xf numFmtId="0" fontId="15" fillId="11" borderId="0" xfId="0" applyFont="1" applyFill="1" applyAlignment="1">
      <alignment horizontal="center"/>
    </xf>
    <xf numFmtId="4" fontId="20" fillId="14" borderId="24" xfId="0" applyNumberFormat="1" applyFont="1" applyFill="1" applyBorder="1" applyAlignment="1">
      <alignment horizontal="center" vertical="center"/>
    </xf>
    <xf numFmtId="0" fontId="19" fillId="11" borderId="24" xfId="0" applyFont="1" applyFill="1" applyBorder="1" applyAlignment="1">
      <alignment horizontal="center"/>
    </xf>
    <xf numFmtId="0" fontId="21" fillId="0" borderId="0" xfId="0" applyFont="1" applyAlignment="1">
      <alignment wrapText="1"/>
    </xf>
    <xf numFmtId="0" fontId="14" fillId="0" borderId="0" xfId="0" applyFont="1" applyAlignment="1">
      <alignment horizontal="center"/>
    </xf>
    <xf numFmtId="0" fontId="13" fillId="10" borderId="0" xfId="0" applyFont="1" applyFill="1" applyAlignment="1">
      <alignment horizontal="center" vertical="center"/>
    </xf>
    <xf numFmtId="0" fontId="9" fillId="6" borderId="16" xfId="0" applyFont="1" applyFill="1" applyBorder="1" applyAlignment="1">
      <alignment horizontal="left" indent="3"/>
    </xf>
    <xf numFmtId="0" fontId="0" fillId="0" borderId="21" xfId="0" applyBorder="1"/>
    <xf numFmtId="0" fontId="0" fillId="0" borderId="22" xfId="0" applyBorder="1"/>
    <xf numFmtId="0" fontId="7" fillId="3" borderId="1" xfId="0" applyFont="1" applyFill="1" applyBorder="1" applyAlignment="1">
      <alignment horizontal="center" vertical="center"/>
    </xf>
    <xf numFmtId="0" fontId="0" fillId="0" borderId="3" xfId="0" applyBorder="1"/>
    <xf numFmtId="0" fontId="9" fillId="6" borderId="18" xfId="0" applyFont="1" applyFill="1" applyBorder="1" applyAlignment="1">
      <alignment horizontal="left" indent="3"/>
    </xf>
    <xf numFmtId="0" fontId="9" fillId="6" borderId="14" xfId="0" applyFont="1" applyFill="1" applyBorder="1" applyAlignment="1">
      <alignment horizontal="left" indent="3"/>
    </xf>
    <xf numFmtId="0" fontId="0" fillId="0" borderId="20" xfId="0" applyBorder="1"/>
    <xf numFmtId="0" fontId="7" fillId="3" borderId="23" xfId="0" applyFont="1" applyFill="1" applyBorder="1" applyAlignment="1">
      <alignment horizontal="center" vertical="center"/>
    </xf>
    <xf numFmtId="0" fontId="0" fillId="0" borderId="2" xfId="0" applyBorder="1"/>
    <xf numFmtId="0" fontId="23" fillId="10" borderId="0" xfId="0" applyFont="1" applyFill="1"/>
    <xf numFmtId="0" fontId="11" fillId="0" borderId="17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15" borderId="24" xfId="0" applyFill="1" applyBorder="1" applyAlignment="1">
      <alignment horizontal="center" vertical="center"/>
    </xf>
    <xf numFmtId="0" fontId="9" fillId="6" borderId="16" xfId="0" applyFont="1" applyFill="1" applyBorder="1" applyAlignment="1">
      <alignment horizontal="left" vertical="center"/>
    </xf>
    <xf numFmtId="0" fontId="0" fillId="0" borderId="21" xfId="0" applyBorder="1" applyAlignment="1">
      <alignment vertical="center"/>
    </xf>
    <xf numFmtId="10" fontId="11" fillId="0" borderId="17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2" fillId="4" borderId="16" xfId="0" applyFont="1" applyFill="1" applyBorder="1" applyAlignment="1">
      <alignment horizontal="left" vertical="center"/>
    </xf>
    <xf numFmtId="8" fontId="11" fillId="4" borderId="17" xfId="0" applyNumberFormat="1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left" vertical="center"/>
    </xf>
    <xf numFmtId="0" fontId="0" fillId="0" borderId="22" xfId="0" applyBorder="1" applyAlignment="1">
      <alignment vertical="center"/>
    </xf>
    <xf numFmtId="8" fontId="11" fillId="4" borderId="19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9" fillId="4" borderId="5" xfId="0" applyFont="1" applyFill="1" applyBorder="1" applyAlignment="1">
      <alignment horizontal="left" vertical="center"/>
    </xf>
    <xf numFmtId="164" fontId="10" fillId="4" borderId="6" xfId="0" applyNumberFormat="1" applyFont="1" applyFill="1" applyBorder="1" applyAlignment="1">
      <alignment horizontal="center" vertical="center"/>
    </xf>
    <xf numFmtId="164" fontId="10" fillId="4" borderId="7" xfId="0" applyNumberFormat="1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left" vertical="center"/>
    </xf>
    <xf numFmtId="164" fontId="10" fillId="4" borderId="9" xfId="0" applyNumberFormat="1" applyFont="1" applyFill="1" applyBorder="1" applyAlignment="1">
      <alignment horizontal="center" vertical="center"/>
    </xf>
    <xf numFmtId="164" fontId="10" fillId="4" borderId="10" xfId="0" applyNumberFormat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164" fontId="10" fillId="4" borderId="12" xfId="0" applyNumberFormat="1" applyFont="1" applyFill="1" applyBorder="1" applyAlignment="1">
      <alignment horizontal="center" vertical="center"/>
    </xf>
    <xf numFmtId="164" fontId="10" fillId="4" borderId="13" xfId="0" applyNumberFormat="1" applyFont="1" applyFill="1" applyBorder="1" applyAlignment="1">
      <alignment horizontal="center" vertical="center"/>
    </xf>
    <xf numFmtId="0" fontId="2" fillId="2" borderId="0" xfId="3" applyAlignment="1">
      <alignment vertical="center"/>
    </xf>
    <xf numFmtId="0" fontId="2" fillId="2" borderId="0" xfId="3" applyAlignment="1">
      <alignment horizontal="center" vertical="center"/>
    </xf>
    <xf numFmtId="0" fontId="3" fillId="6" borderId="0" xfId="0" applyFont="1" applyFill="1" applyAlignment="1">
      <alignment vertical="center"/>
    </xf>
    <xf numFmtId="164" fontId="3" fillId="6" borderId="0" xfId="1" applyNumberFormat="1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0" fontId="3" fillId="7" borderId="0" xfId="0" applyFont="1" applyFill="1" applyAlignment="1">
      <alignment vertical="center"/>
    </xf>
    <xf numFmtId="164" fontId="3" fillId="7" borderId="0" xfId="0" applyNumberFormat="1" applyFont="1" applyFill="1" applyAlignment="1">
      <alignment horizontal="center" vertical="center"/>
    </xf>
    <xf numFmtId="165" fontId="17" fillId="13" borderId="24" xfId="0" applyNumberFormat="1" applyFont="1" applyFill="1" applyBorder="1" applyAlignment="1">
      <alignment horizontal="center"/>
    </xf>
    <xf numFmtId="1" fontId="17" fillId="13" borderId="24" xfId="0" applyNumberFormat="1" applyFont="1" applyFill="1" applyBorder="1" applyAlignment="1">
      <alignment horizontal="center"/>
    </xf>
    <xf numFmtId="10" fontId="17" fillId="13" borderId="24" xfId="0" applyNumberFormat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165" fontId="0" fillId="0" borderId="24" xfId="0" applyNumberFormat="1" applyBorder="1" applyAlignment="1">
      <alignment horizontal="center" vertical="center"/>
    </xf>
    <xf numFmtId="165" fontId="0" fillId="15" borderId="24" xfId="0" applyNumberForma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4" fontId="0" fillId="0" borderId="24" xfId="0" applyNumberFormat="1" applyBorder="1" applyAlignment="1">
      <alignment horizontal="center" vertical="center"/>
    </xf>
    <xf numFmtId="4" fontId="0" fillId="15" borderId="24" xfId="0" applyNumberFormat="1" applyFill="1" applyBorder="1" applyAlignment="1">
      <alignment horizontal="center" vertic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5">
    <dxf>
      <fill>
        <patternFill patternType="solid">
          <fgColor rgb="FFFDE2E1"/>
        </patternFill>
      </fill>
    </dxf>
    <dxf>
      <fill>
        <patternFill patternType="solid">
          <fgColor rgb="FFFDE2E1"/>
        </patternFill>
      </fill>
    </dxf>
    <dxf>
      <fill>
        <patternFill patternType="solid">
          <fgColor rgb="FFFDE2E1"/>
        </patternFill>
      </fill>
    </dxf>
    <dxf>
      <fill>
        <patternFill patternType="solid">
          <fgColor rgb="FFFDE2E1"/>
        </patternFill>
      </fill>
    </dxf>
    <dxf>
      <fill>
        <patternFill patternType="solid">
          <fgColor rgb="FFFDE2E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Evolução do patrimônio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Simulador!$G$18</c:f>
              <c:strCache>
                <c:ptCount val="1"/>
                <c:pt idx="0">
                  <c:v>Patrimônio final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Simulador!$B$19:$B$138</c:f>
              <c:strCach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strCache>
            </c:strRef>
          </c:cat>
          <c:val>
            <c:numRef>
              <c:f>Simulador!$G$19:$G$138</c:f>
              <c:numCache>
                <c:formatCode>\R\$\ #,##0.00</c:formatCode>
                <c:ptCount val="120"/>
                <c:pt idx="0">
                  <c:v>1512</c:v>
                </c:pt>
                <c:pt idx="1">
                  <c:v>2028.096</c:v>
                </c:pt>
                <c:pt idx="2">
                  <c:v>2548.320768</c:v>
                </c:pt>
                <c:pt idx="3">
                  <c:v>3072.707334144</c:v>
                </c:pt>
                <c:pt idx="4">
                  <c:v>3601.2889928171521</c:v>
                </c:pt>
                <c:pt idx="5">
                  <c:v>4134.0993047596885</c:v>
                </c:pt>
                <c:pt idx="6">
                  <c:v>4671.1720991977663</c:v>
                </c:pt>
                <c:pt idx="7">
                  <c:v>5212.5414759913483</c:v>
                </c:pt>
                <c:pt idx="8">
                  <c:v>5758.2418077992788</c:v>
                </c:pt>
                <c:pt idx="9">
                  <c:v>6308.3077422616734</c:v>
                </c:pt>
                <c:pt idx="10">
                  <c:v>6862.7742041997672</c:v>
                </c:pt>
                <c:pt idx="11">
                  <c:v>7421.6763978333656</c:v>
                </c:pt>
                <c:pt idx="12">
                  <c:v>7985.0498090160327</c:v>
                </c:pt>
                <c:pt idx="13">
                  <c:v>8552.9302074881616</c:v>
                </c:pt>
                <c:pt idx="14">
                  <c:v>9125.3536491480663</c:v>
                </c:pt>
                <c:pt idx="15">
                  <c:v>9702.3564783412512</c:v>
                </c:pt>
                <c:pt idx="16">
                  <c:v>10283.975330167981</c:v>
                </c:pt>
                <c:pt idx="17">
                  <c:v>10870.247132809325</c:v>
                </c:pt>
                <c:pt idx="18">
                  <c:v>11461.209109871799</c:v>
                </c:pt>
                <c:pt idx="19">
                  <c:v>12056.898782750774</c:v>
                </c:pt>
                <c:pt idx="20">
                  <c:v>12657.35397301278</c:v>
                </c:pt>
                <c:pt idx="21">
                  <c:v>13262.612804796881</c:v>
                </c:pt>
                <c:pt idx="22">
                  <c:v>13872.713707235256</c:v>
                </c:pt>
                <c:pt idx="23">
                  <c:v>14487.695416893139</c:v>
                </c:pt>
                <c:pt idx="24">
                  <c:v>15107.596980228283</c:v>
                </c:pt>
                <c:pt idx="25">
                  <c:v>15732.457756070109</c:v>
                </c:pt>
                <c:pt idx="26">
                  <c:v>16362.31741811867</c:v>
                </c:pt>
                <c:pt idx="27">
                  <c:v>16997.215957463621</c:v>
                </c:pt>
                <c:pt idx="28">
                  <c:v>17637.193685123329</c:v>
                </c:pt>
                <c:pt idx="29">
                  <c:v>18282.291234604316</c:v>
                </c:pt>
                <c:pt idx="30">
                  <c:v>18932.549564481149</c:v>
                </c:pt>
                <c:pt idx="31">
                  <c:v>19588.009960996998</c:v>
                </c:pt>
                <c:pt idx="32">
                  <c:v>20248.714040684976</c:v>
                </c:pt>
                <c:pt idx="33">
                  <c:v>20914.703753010457</c:v>
                </c:pt>
                <c:pt idx="34">
                  <c:v>21586.021383034542</c:v>
                </c:pt>
                <c:pt idx="35">
                  <c:v>22262.709554098819</c:v>
                </c:pt>
                <c:pt idx="36">
                  <c:v>22944.81123053161</c:v>
                </c:pt>
                <c:pt idx="37">
                  <c:v>23632.369720375864</c:v>
                </c:pt>
                <c:pt idx="38">
                  <c:v>24325.428678138869</c:v>
                </c:pt>
                <c:pt idx="39">
                  <c:v>25024.03210756398</c:v>
                </c:pt>
                <c:pt idx="40">
                  <c:v>25728.224364424492</c:v>
                </c:pt>
                <c:pt idx="41">
                  <c:v>26438.050159339888</c:v>
                </c:pt>
                <c:pt idx="42">
                  <c:v>27153.554560614608</c:v>
                </c:pt>
                <c:pt idx="43">
                  <c:v>27874.782997099526</c:v>
                </c:pt>
                <c:pt idx="44">
                  <c:v>28601.781261076321</c:v>
                </c:pt>
                <c:pt idx="45">
                  <c:v>29334.595511164931</c:v>
                </c:pt>
                <c:pt idx="46">
                  <c:v>30073.27227525425</c:v>
                </c:pt>
                <c:pt idx="47">
                  <c:v>30817.858453456283</c:v>
                </c:pt>
                <c:pt idx="48">
                  <c:v>31568.401321083933</c:v>
                </c:pt>
                <c:pt idx="49">
                  <c:v>32324.948531652604</c:v>
                </c:pt>
                <c:pt idx="50">
                  <c:v>33087.548119905827</c:v>
                </c:pt>
                <c:pt idx="51">
                  <c:v>33856.248504865071</c:v>
                </c:pt>
                <c:pt idx="52">
                  <c:v>34631.098492903991</c:v>
                </c:pt>
                <c:pt idx="53">
                  <c:v>35412.147280847224</c:v>
                </c:pt>
                <c:pt idx="54">
                  <c:v>36199.444459094004</c:v>
                </c:pt>
                <c:pt idx="55">
                  <c:v>36993.040014766753</c:v>
                </c:pt>
                <c:pt idx="56">
                  <c:v>37792.984334884888</c:v>
                </c:pt>
                <c:pt idx="57">
                  <c:v>38599.328209563966</c:v>
                </c:pt>
                <c:pt idx="58">
                  <c:v>39412.12283524048</c:v>
                </c:pt>
                <c:pt idx="59">
                  <c:v>40231.419817922404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C3C-467B-8D55-A4BECCD48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Mês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Patrimônio (R$)</a:t>
                </a:r>
              </a:p>
            </c:rich>
          </c:tx>
          <c:overlay val="1"/>
        </c:title>
        <c:numFmt formatCode="\R\$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Aportes x Rendimentos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Simulador!$D$18</c:f>
              <c:strCache>
                <c:ptCount val="1"/>
                <c:pt idx="0">
                  <c:v>Total aportado acumulado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Simulador!$B$19:$B$138</c:f>
              <c:strCach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strCache>
            </c:strRef>
          </c:cat>
          <c:val>
            <c:numRef>
              <c:f>Simulador!$D$19:$D$138</c:f>
              <c:numCache>
                <c:formatCode>\R\$\ #,##0.00</c:formatCode>
                <c:ptCount val="120"/>
                <c:pt idx="0">
                  <c:v>1500</c:v>
                </c:pt>
                <c:pt idx="1">
                  <c:v>2000</c:v>
                </c:pt>
                <c:pt idx="2">
                  <c:v>2500</c:v>
                </c:pt>
                <c:pt idx="3">
                  <c:v>3000</c:v>
                </c:pt>
                <c:pt idx="4">
                  <c:v>3500</c:v>
                </c:pt>
                <c:pt idx="5">
                  <c:v>4000</c:v>
                </c:pt>
                <c:pt idx="6">
                  <c:v>4500</c:v>
                </c:pt>
                <c:pt idx="7">
                  <c:v>5000</c:v>
                </c:pt>
                <c:pt idx="8">
                  <c:v>5500</c:v>
                </c:pt>
                <c:pt idx="9">
                  <c:v>6000</c:v>
                </c:pt>
                <c:pt idx="10">
                  <c:v>6500</c:v>
                </c:pt>
                <c:pt idx="11">
                  <c:v>7000</c:v>
                </c:pt>
                <c:pt idx="12">
                  <c:v>7500</c:v>
                </c:pt>
                <c:pt idx="13">
                  <c:v>8000</c:v>
                </c:pt>
                <c:pt idx="14">
                  <c:v>8500</c:v>
                </c:pt>
                <c:pt idx="15">
                  <c:v>9000</c:v>
                </c:pt>
                <c:pt idx="16">
                  <c:v>9500</c:v>
                </c:pt>
                <c:pt idx="17">
                  <c:v>10000</c:v>
                </c:pt>
                <c:pt idx="18">
                  <c:v>10500</c:v>
                </c:pt>
                <c:pt idx="19">
                  <c:v>11000</c:v>
                </c:pt>
                <c:pt idx="20">
                  <c:v>11500</c:v>
                </c:pt>
                <c:pt idx="21">
                  <c:v>12000</c:v>
                </c:pt>
                <c:pt idx="22">
                  <c:v>12500</c:v>
                </c:pt>
                <c:pt idx="23">
                  <c:v>13000</c:v>
                </c:pt>
                <c:pt idx="24">
                  <c:v>13500</c:v>
                </c:pt>
                <c:pt idx="25">
                  <c:v>14000</c:v>
                </c:pt>
                <c:pt idx="26">
                  <c:v>14500</c:v>
                </c:pt>
                <c:pt idx="27">
                  <c:v>15000</c:v>
                </c:pt>
                <c:pt idx="28">
                  <c:v>15500</c:v>
                </c:pt>
                <c:pt idx="29">
                  <c:v>16000</c:v>
                </c:pt>
                <c:pt idx="30">
                  <c:v>16500</c:v>
                </c:pt>
                <c:pt idx="31">
                  <c:v>17000</c:v>
                </c:pt>
                <c:pt idx="32">
                  <c:v>17500</c:v>
                </c:pt>
                <c:pt idx="33">
                  <c:v>18000</c:v>
                </c:pt>
                <c:pt idx="34">
                  <c:v>18500</c:v>
                </c:pt>
                <c:pt idx="35">
                  <c:v>19000</c:v>
                </c:pt>
                <c:pt idx="36">
                  <c:v>19500</c:v>
                </c:pt>
                <c:pt idx="37">
                  <c:v>20000</c:v>
                </c:pt>
                <c:pt idx="38">
                  <c:v>20500</c:v>
                </c:pt>
                <c:pt idx="39">
                  <c:v>21000</c:v>
                </c:pt>
                <c:pt idx="40">
                  <c:v>21500</c:v>
                </c:pt>
                <c:pt idx="41">
                  <c:v>22000</c:v>
                </c:pt>
                <c:pt idx="42">
                  <c:v>22500</c:v>
                </c:pt>
                <c:pt idx="43">
                  <c:v>23000</c:v>
                </c:pt>
                <c:pt idx="44">
                  <c:v>23500</c:v>
                </c:pt>
                <c:pt idx="45">
                  <c:v>24000</c:v>
                </c:pt>
                <c:pt idx="46">
                  <c:v>24500</c:v>
                </c:pt>
                <c:pt idx="47">
                  <c:v>25000</c:v>
                </c:pt>
                <c:pt idx="48">
                  <c:v>25500</c:v>
                </c:pt>
                <c:pt idx="49">
                  <c:v>26000</c:v>
                </c:pt>
                <c:pt idx="50">
                  <c:v>26500</c:v>
                </c:pt>
                <c:pt idx="51">
                  <c:v>27000</c:v>
                </c:pt>
                <c:pt idx="52">
                  <c:v>27500</c:v>
                </c:pt>
                <c:pt idx="53">
                  <c:v>28000</c:v>
                </c:pt>
                <c:pt idx="54">
                  <c:v>28500</c:v>
                </c:pt>
                <c:pt idx="55">
                  <c:v>29000</c:v>
                </c:pt>
                <c:pt idx="56">
                  <c:v>29500</c:v>
                </c:pt>
                <c:pt idx="57">
                  <c:v>30000</c:v>
                </c:pt>
                <c:pt idx="58">
                  <c:v>30500</c:v>
                </c:pt>
                <c:pt idx="59">
                  <c:v>31000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EF-4C4C-BE34-F181E56AF2EF}"/>
            </c:ext>
          </c:extLst>
        </c:ser>
        <c:ser>
          <c:idx val="1"/>
          <c:order val="1"/>
          <c:tx>
            <c:strRef>
              <c:f>Simulador!$H$18</c:f>
              <c:strCache>
                <c:ptCount val="1"/>
                <c:pt idx="0">
                  <c:v>Rendimentos acumulados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Simulador!$B$19:$B$138</c:f>
              <c:strCach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strCache>
            </c:strRef>
          </c:cat>
          <c:val>
            <c:numRef>
              <c:f>Simulador!$H$19:$H$138</c:f>
              <c:numCache>
                <c:formatCode>\R\$\ #,##0.00</c:formatCode>
                <c:ptCount val="120"/>
                <c:pt idx="0">
                  <c:v>12</c:v>
                </c:pt>
                <c:pt idx="1">
                  <c:v>28.096000000000004</c:v>
                </c:pt>
                <c:pt idx="2">
                  <c:v>48.320768000000044</c:v>
                </c:pt>
                <c:pt idx="3">
                  <c:v>72.707334144000015</c:v>
                </c:pt>
                <c:pt idx="4">
                  <c:v>101.28899281715212</c:v>
                </c:pt>
                <c:pt idx="5">
                  <c:v>134.09930475968849</c:v>
                </c:pt>
                <c:pt idx="6">
                  <c:v>171.17209919776633</c:v>
                </c:pt>
                <c:pt idx="7">
                  <c:v>212.54147599134831</c:v>
                </c:pt>
                <c:pt idx="8">
                  <c:v>258.24180779927883</c:v>
                </c:pt>
                <c:pt idx="9">
                  <c:v>308.30774226167341</c:v>
                </c:pt>
                <c:pt idx="10">
                  <c:v>362.77420419976715</c:v>
                </c:pt>
                <c:pt idx="11">
                  <c:v>421.67639783336563</c:v>
                </c:pt>
                <c:pt idx="12">
                  <c:v>485.04980901603267</c:v>
                </c:pt>
                <c:pt idx="13">
                  <c:v>552.93020748816161</c:v>
                </c:pt>
                <c:pt idx="14">
                  <c:v>625.35364914806632</c:v>
                </c:pt>
                <c:pt idx="15">
                  <c:v>702.3564783412512</c:v>
                </c:pt>
                <c:pt idx="16">
                  <c:v>783.97533016798116</c:v>
                </c:pt>
                <c:pt idx="17">
                  <c:v>870.24713280932519</c:v>
                </c:pt>
                <c:pt idx="18">
                  <c:v>961.20910987179923</c:v>
                </c:pt>
                <c:pt idx="19">
                  <c:v>1056.8987827507735</c:v>
                </c:pt>
                <c:pt idx="20">
                  <c:v>1157.3539730127795</c:v>
                </c:pt>
                <c:pt idx="21">
                  <c:v>1262.6128047968814</c:v>
                </c:pt>
                <c:pt idx="22">
                  <c:v>1372.7137072352562</c:v>
                </c:pt>
                <c:pt idx="23">
                  <c:v>1487.6954168931388</c:v>
                </c:pt>
                <c:pt idx="24">
                  <c:v>1607.5969802282834</c:v>
                </c:pt>
                <c:pt idx="25">
                  <c:v>1732.4577560701091</c:v>
                </c:pt>
                <c:pt idx="26">
                  <c:v>1862.3174181186696</c:v>
                </c:pt>
                <c:pt idx="27">
                  <c:v>1997.2159574636207</c:v>
                </c:pt>
                <c:pt idx="28">
                  <c:v>2137.1936851233295</c:v>
                </c:pt>
                <c:pt idx="29">
                  <c:v>2282.2912346043158</c:v>
                </c:pt>
                <c:pt idx="30">
                  <c:v>2432.549564481149</c:v>
                </c:pt>
                <c:pt idx="31">
                  <c:v>2588.0099609969984</c:v>
                </c:pt>
                <c:pt idx="32">
                  <c:v>2748.7140406849758</c:v>
                </c:pt>
                <c:pt idx="33">
                  <c:v>2914.7037530104571</c:v>
                </c:pt>
                <c:pt idx="34">
                  <c:v>3086.0213830345419</c:v>
                </c:pt>
                <c:pt idx="35">
                  <c:v>3262.7095540988194</c:v>
                </c:pt>
                <c:pt idx="36">
                  <c:v>3444.8112305316099</c:v>
                </c:pt>
                <c:pt idx="37">
                  <c:v>3632.3697203758638</c:v>
                </c:pt>
                <c:pt idx="38">
                  <c:v>3825.4286781388691</c:v>
                </c:pt>
                <c:pt idx="39">
                  <c:v>4024.0321075639804</c:v>
                </c:pt>
                <c:pt idx="40">
                  <c:v>4228.2243644244918</c:v>
                </c:pt>
                <c:pt idx="41">
                  <c:v>4438.0501593398876</c:v>
                </c:pt>
                <c:pt idx="42">
                  <c:v>4653.5545606146079</c:v>
                </c:pt>
                <c:pt idx="43">
                  <c:v>4874.7829970995263</c:v>
                </c:pt>
                <c:pt idx="44">
                  <c:v>5101.7812610763212</c:v>
                </c:pt>
                <c:pt idx="45">
                  <c:v>5334.5955111649309</c:v>
                </c:pt>
                <c:pt idx="46">
                  <c:v>5573.2722752542504</c:v>
                </c:pt>
                <c:pt idx="47">
                  <c:v>5817.8584534562833</c:v>
                </c:pt>
                <c:pt idx="48">
                  <c:v>6068.401321083933</c:v>
                </c:pt>
                <c:pt idx="49">
                  <c:v>6324.9485316526043</c:v>
                </c:pt>
                <c:pt idx="50">
                  <c:v>6587.5481199058268</c:v>
                </c:pt>
                <c:pt idx="51">
                  <c:v>6856.2485048650706</c:v>
                </c:pt>
                <c:pt idx="52">
                  <c:v>7131.0984929039914</c:v>
                </c:pt>
                <c:pt idx="53">
                  <c:v>7412.1472808472245</c:v>
                </c:pt>
                <c:pt idx="54">
                  <c:v>7699.4444590940038</c:v>
                </c:pt>
                <c:pt idx="55">
                  <c:v>7993.0400147667533</c:v>
                </c:pt>
                <c:pt idx="56">
                  <c:v>8292.9843348848881</c:v>
                </c:pt>
                <c:pt idx="57">
                  <c:v>8599.3282095639661</c:v>
                </c:pt>
                <c:pt idx="58">
                  <c:v>8912.1228352404796</c:v>
                </c:pt>
                <c:pt idx="59">
                  <c:v>9231.419817922404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EF-4C4C-BE34-F181E56AF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Mês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Valor (R$)</a:t>
                </a:r>
              </a:p>
            </c:rich>
          </c:tx>
          <c:overlay val="1"/>
        </c:title>
        <c:numFmt formatCode="\R\$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67000"/>
                      <a:satMod val="105000"/>
                      <a:lumMod val="110000"/>
                    </a:schemeClr>
                  </a:gs>
                  <a:gs pos="50000">
                    <a:schemeClr val="accent1">
                      <a:tint val="73000"/>
                      <a:satMod val="103000"/>
                      <a:lumMod val="105000"/>
                    </a:schemeClr>
                  </a:gs>
                  <a:gs pos="100000">
                    <a:schemeClr val="accent1">
                      <a:tint val="81000"/>
                      <a:satMod val="109000"/>
                      <a:lumMod val="105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1-C66F-4727-B79C-29447C3DF24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67000"/>
                      <a:satMod val="105000"/>
                      <a:lumMod val="110000"/>
                    </a:schemeClr>
                  </a:gs>
                  <a:gs pos="50000">
                    <a:schemeClr val="accent2">
                      <a:tint val="73000"/>
                      <a:satMod val="103000"/>
                      <a:lumMod val="105000"/>
                    </a:schemeClr>
                  </a:gs>
                  <a:gs pos="100000">
                    <a:schemeClr val="accent2">
                      <a:tint val="81000"/>
                      <a:satMod val="109000"/>
                      <a:lumMod val="105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3-C66F-4727-B79C-29447C3DF24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67000"/>
                      <a:satMod val="105000"/>
                      <a:lumMod val="110000"/>
                    </a:schemeClr>
                  </a:gs>
                  <a:gs pos="50000">
                    <a:schemeClr val="accent3">
                      <a:tint val="73000"/>
                      <a:satMod val="103000"/>
                      <a:lumMod val="105000"/>
                    </a:schemeClr>
                  </a:gs>
                  <a:gs pos="100000">
                    <a:schemeClr val="accent3">
                      <a:tint val="81000"/>
                      <a:satMod val="109000"/>
                      <a:lumMod val="105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5-C66F-4727-B79C-29447C3DF24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67000"/>
                      <a:satMod val="105000"/>
                      <a:lumMod val="110000"/>
                    </a:schemeClr>
                  </a:gs>
                  <a:gs pos="50000">
                    <a:schemeClr val="accent4">
                      <a:tint val="73000"/>
                      <a:satMod val="103000"/>
                      <a:lumMod val="105000"/>
                    </a:schemeClr>
                  </a:gs>
                  <a:gs pos="100000">
                    <a:schemeClr val="accent4">
                      <a:tint val="81000"/>
                      <a:satMod val="109000"/>
                      <a:lumMod val="105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7-C66F-4727-B79C-29447C3DF24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67000"/>
                      <a:satMod val="105000"/>
                      <a:lumMod val="110000"/>
                    </a:schemeClr>
                  </a:gs>
                  <a:gs pos="50000">
                    <a:schemeClr val="accent5">
                      <a:tint val="73000"/>
                      <a:satMod val="103000"/>
                      <a:lumMod val="105000"/>
                    </a:schemeClr>
                  </a:gs>
                  <a:gs pos="100000">
                    <a:schemeClr val="accent5">
                      <a:tint val="81000"/>
                      <a:satMod val="109000"/>
                      <a:lumMod val="105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9-C66F-4727-B79C-29447C3DF242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tint val="67000"/>
                      <a:satMod val="105000"/>
                      <a:lumMod val="110000"/>
                    </a:schemeClr>
                  </a:gs>
                  <a:gs pos="50000">
                    <a:schemeClr val="accent6">
                      <a:tint val="73000"/>
                      <a:satMod val="103000"/>
                      <a:lumMod val="105000"/>
                    </a:schemeClr>
                  </a:gs>
                  <a:gs pos="100000">
                    <a:schemeClr val="accent6">
                      <a:tint val="81000"/>
                      <a:satMod val="109000"/>
                      <a:lumMod val="105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B-C66F-4727-B79C-29447C3DF242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66F-4727-B79C-29447C3DF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140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140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317046</xdr:colOff>
      <xdr:row>42</xdr:row>
      <xdr:rowOff>97971</xdr:rowOff>
    </xdr:from>
    <xdr:to>
      <xdr:col>3</xdr:col>
      <xdr:colOff>892175</xdr:colOff>
      <xdr:row>55</xdr:row>
      <xdr:rowOff>35832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199066</xdr:colOff>
      <xdr:row>1</xdr:row>
      <xdr:rowOff>3587</xdr:rowOff>
    </xdr:from>
    <xdr:to>
      <xdr:col>4</xdr:col>
      <xdr:colOff>73909</xdr:colOff>
      <xdr:row>9</xdr:row>
      <xdr:rowOff>25401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b="9606"/>
        <a:stretch>
          <a:fillRect/>
        </a:stretch>
      </xdr:blipFill>
      <xdr:spPr>
        <a:xfrm>
          <a:off x="199066" y="182563"/>
          <a:ext cx="6008059" cy="1485901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N159"/>
  <sheetViews>
    <sheetView showGridLines="0" tabSelected="1" workbookViewId="0">
      <pane ySplit="17" topLeftCell="A18" activePane="bottomLeft" state="frozen"/>
      <selection activeCell="E9" sqref="E9"/>
      <selection pane="bottomLeft" activeCell="E188" sqref="E188"/>
    </sheetView>
  </sheetViews>
  <sheetFormatPr defaultRowHeight="14.4" x14ac:dyDescent="0.3"/>
  <cols>
    <col min="1" max="1" width="3" customWidth="1"/>
    <col min="2" max="2" width="28" customWidth="1"/>
    <col min="3" max="3" width="19" style="2" customWidth="1"/>
    <col min="4" max="4" width="18.109375" style="2" customWidth="1"/>
    <col min="5" max="5" width="20" style="2" customWidth="1"/>
    <col min="6" max="10" width="18" style="2" customWidth="1"/>
    <col min="11" max="14" width="18" customWidth="1"/>
  </cols>
  <sheetData>
    <row r="2" spans="2:14" ht="30" customHeight="1" x14ac:dyDescent="0.3">
      <c r="B2" s="36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2:14" x14ac:dyDescent="0.3">
      <c r="B3" s="35" t="s">
        <v>1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5" spans="2:14" x14ac:dyDescent="0.3">
      <c r="B5" s="31" t="s">
        <v>2</v>
      </c>
      <c r="C5" s="26"/>
      <c r="E5" s="33" t="s">
        <v>3</v>
      </c>
      <c r="F5" s="30"/>
      <c r="G5" s="33" t="s">
        <v>4</v>
      </c>
      <c r="H5" s="30"/>
      <c r="I5" s="33" t="s">
        <v>5</v>
      </c>
      <c r="J5" s="30"/>
      <c r="K5" s="33" t="s">
        <v>6</v>
      </c>
      <c r="L5" s="30"/>
      <c r="M5" s="33" t="s">
        <v>7</v>
      </c>
      <c r="N5" s="30"/>
    </row>
    <row r="6" spans="2:14" x14ac:dyDescent="0.3">
      <c r="B6" s="20" t="s">
        <v>8</v>
      </c>
      <c r="C6" s="80">
        <v>1000</v>
      </c>
      <c r="E6" s="29">
        <f>IFERROR(C6+(C7*C8),0)</f>
        <v>31000</v>
      </c>
      <c r="F6" s="30"/>
      <c r="G6" s="29">
        <f>IFERROR(INDEX($F$19:$F$138,$C$8),0)</f>
        <v>319.29698268192385</v>
      </c>
      <c r="H6" s="30"/>
      <c r="I6" s="29">
        <f>IFERROR(INDEX($H$19:$H$138,$C$8),0)</f>
        <v>9231.419817922404</v>
      </c>
      <c r="J6" s="30"/>
      <c r="K6" s="32">
        <f>IFERROR(INDEX($I$19:$I$138,$C$8),0)</f>
        <v>321.85135854337926</v>
      </c>
      <c r="L6" s="30"/>
      <c r="M6" s="29">
        <f>IFERROR(INDEX($G$19:$G$138,$C$8),0)</f>
        <v>40231.419817922404</v>
      </c>
      <c r="N6" s="30"/>
    </row>
    <row r="7" spans="2:14" x14ac:dyDescent="0.3">
      <c r="B7" s="20" t="s">
        <v>9</v>
      </c>
      <c r="C7" s="80">
        <v>500</v>
      </c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2:14" x14ac:dyDescent="0.3">
      <c r="B8" s="20" t="s">
        <v>10</v>
      </c>
      <c r="C8" s="81">
        <v>60</v>
      </c>
    </row>
    <row r="9" spans="2:14" x14ac:dyDescent="0.3">
      <c r="B9" s="20" t="s">
        <v>11</v>
      </c>
      <c r="C9" s="82">
        <v>8.0000000000000002E-3</v>
      </c>
    </row>
    <row r="10" spans="2:14" x14ac:dyDescent="0.3">
      <c r="B10" s="20" t="s">
        <v>12</v>
      </c>
      <c r="C10" s="80">
        <v>100</v>
      </c>
    </row>
    <row r="11" spans="2:14" x14ac:dyDescent="0.3">
      <c r="B11" s="20" t="s">
        <v>13</v>
      </c>
      <c r="C11" s="82">
        <v>8.0000000000000002E-3</v>
      </c>
    </row>
    <row r="12" spans="2:14" x14ac:dyDescent="0.3">
      <c r="B12" s="21" t="s">
        <v>14</v>
      </c>
      <c r="C12" s="83" t="s">
        <v>15</v>
      </c>
    </row>
    <row r="14" spans="2:14" x14ac:dyDescent="0.3">
      <c r="B14" s="28" t="s">
        <v>16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</row>
    <row r="15" spans="2:14" x14ac:dyDescent="0.3">
      <c r="B15" s="34" t="s">
        <v>17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</row>
    <row r="16" spans="2:14" x14ac:dyDescent="0.3">
      <c r="B16" s="27" t="s">
        <v>18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</row>
    <row r="18" spans="2:10" ht="31.95" customHeight="1" x14ac:dyDescent="0.3">
      <c r="B18" s="22" t="s">
        <v>19</v>
      </c>
      <c r="C18" s="22" t="s">
        <v>9</v>
      </c>
      <c r="D18" s="22" t="s">
        <v>20</v>
      </c>
      <c r="E18" s="22" t="s">
        <v>21</v>
      </c>
      <c r="F18" s="22" t="s">
        <v>22</v>
      </c>
      <c r="G18" s="22" t="s">
        <v>4</v>
      </c>
      <c r="H18" s="22" t="s">
        <v>7</v>
      </c>
      <c r="I18" s="22" t="s">
        <v>23</v>
      </c>
      <c r="J18" s="22" t="s">
        <v>24</v>
      </c>
    </row>
    <row r="19" spans="2:10" x14ac:dyDescent="0.3">
      <c r="B19" s="49">
        <f t="shared" ref="B19:B50" si="0">IF(ROW()-18&lt;=$C$8,ROW()-18,"")</f>
        <v>1</v>
      </c>
      <c r="C19" s="84">
        <f t="shared" ref="C19:C50" si="1">IF(B19="","",$C$7)</f>
        <v>500</v>
      </c>
      <c r="D19" s="84">
        <f t="shared" ref="D19:D50" si="2">IF(B19="","",$C$6+C19*B19)</f>
        <v>1500</v>
      </c>
      <c r="E19" s="84">
        <f t="shared" ref="E19:E50" si="3">IF(B19="","",IF(B19=1,$C$6,E18*0+G18))</f>
        <v>1000</v>
      </c>
      <c r="F19" s="84">
        <f t="shared" ref="F19:F50" si="4">IF(B19="","",IFERROR((E19+C19)*$C$9,0))</f>
        <v>12</v>
      </c>
      <c r="G19" s="84">
        <f t="shared" ref="G19:G50" si="5">IF(B19="","",E19+C19+F19)</f>
        <v>1512</v>
      </c>
      <c r="H19" s="84">
        <f t="shared" ref="H19:H50" si="6">IF(B19="","",G19-D19)</f>
        <v>12</v>
      </c>
      <c r="I19" s="84">
        <f t="shared" ref="I19:I50" si="7">IF(B19="","",IFERROR(G19*$C$11,0))</f>
        <v>12.096</v>
      </c>
      <c r="J19" s="89">
        <f t="shared" ref="J19:J50" si="8">IF(B19="","",IFERROR(G19/$C$10,0))</f>
        <v>15.12</v>
      </c>
    </row>
    <row r="20" spans="2:10" x14ac:dyDescent="0.3">
      <c r="B20" s="50">
        <f t="shared" si="0"/>
        <v>2</v>
      </c>
      <c r="C20" s="85">
        <f t="shared" si="1"/>
        <v>500</v>
      </c>
      <c r="D20" s="85">
        <f t="shared" si="2"/>
        <v>2000</v>
      </c>
      <c r="E20" s="85">
        <f t="shared" si="3"/>
        <v>1512</v>
      </c>
      <c r="F20" s="85">
        <f t="shared" si="4"/>
        <v>16.096</v>
      </c>
      <c r="G20" s="85">
        <f t="shared" si="5"/>
        <v>2028.096</v>
      </c>
      <c r="H20" s="85">
        <f t="shared" si="6"/>
        <v>28.096000000000004</v>
      </c>
      <c r="I20" s="85">
        <f t="shared" si="7"/>
        <v>16.224768000000001</v>
      </c>
      <c r="J20" s="90">
        <f t="shared" si="8"/>
        <v>20.28096</v>
      </c>
    </row>
    <row r="21" spans="2:10" x14ac:dyDescent="0.3">
      <c r="B21" s="49">
        <f t="shared" si="0"/>
        <v>3</v>
      </c>
      <c r="C21" s="84">
        <f t="shared" si="1"/>
        <v>500</v>
      </c>
      <c r="D21" s="84">
        <f t="shared" si="2"/>
        <v>2500</v>
      </c>
      <c r="E21" s="84">
        <f t="shared" si="3"/>
        <v>2028.096</v>
      </c>
      <c r="F21" s="84">
        <f t="shared" si="4"/>
        <v>20.224768000000001</v>
      </c>
      <c r="G21" s="84">
        <f t="shared" si="5"/>
        <v>2548.320768</v>
      </c>
      <c r="H21" s="84">
        <f t="shared" si="6"/>
        <v>48.320768000000044</v>
      </c>
      <c r="I21" s="84">
        <f t="shared" si="7"/>
        <v>20.386566144</v>
      </c>
      <c r="J21" s="89">
        <f t="shared" si="8"/>
        <v>25.48320768</v>
      </c>
    </row>
    <row r="22" spans="2:10" x14ac:dyDescent="0.3">
      <c r="B22" s="50">
        <f t="shared" si="0"/>
        <v>4</v>
      </c>
      <c r="C22" s="85">
        <f t="shared" si="1"/>
        <v>500</v>
      </c>
      <c r="D22" s="85">
        <f t="shared" si="2"/>
        <v>3000</v>
      </c>
      <c r="E22" s="85">
        <f t="shared" si="3"/>
        <v>2548.320768</v>
      </c>
      <c r="F22" s="85">
        <f t="shared" si="4"/>
        <v>24.386566144</v>
      </c>
      <c r="G22" s="85">
        <f t="shared" si="5"/>
        <v>3072.707334144</v>
      </c>
      <c r="H22" s="85">
        <f t="shared" si="6"/>
        <v>72.707334144000015</v>
      </c>
      <c r="I22" s="85">
        <f t="shared" si="7"/>
        <v>24.581658673151999</v>
      </c>
      <c r="J22" s="90">
        <f t="shared" si="8"/>
        <v>30.727073341440001</v>
      </c>
    </row>
    <row r="23" spans="2:10" x14ac:dyDescent="0.3">
      <c r="B23" s="49">
        <f t="shared" si="0"/>
        <v>5</v>
      </c>
      <c r="C23" s="84">
        <f t="shared" si="1"/>
        <v>500</v>
      </c>
      <c r="D23" s="84">
        <f t="shared" si="2"/>
        <v>3500</v>
      </c>
      <c r="E23" s="84">
        <f t="shared" si="3"/>
        <v>3072.707334144</v>
      </c>
      <c r="F23" s="84">
        <f t="shared" si="4"/>
        <v>28.581658673151999</v>
      </c>
      <c r="G23" s="84">
        <f t="shared" si="5"/>
        <v>3601.2889928171521</v>
      </c>
      <c r="H23" s="84">
        <f t="shared" si="6"/>
        <v>101.28899281715212</v>
      </c>
      <c r="I23" s="84">
        <f t="shared" si="7"/>
        <v>28.810311942537218</v>
      </c>
      <c r="J23" s="89">
        <f t="shared" si="8"/>
        <v>36.012889928171518</v>
      </c>
    </row>
    <row r="24" spans="2:10" x14ac:dyDescent="0.3">
      <c r="B24" s="50">
        <f t="shared" si="0"/>
        <v>6</v>
      </c>
      <c r="C24" s="85">
        <f t="shared" si="1"/>
        <v>500</v>
      </c>
      <c r="D24" s="85">
        <f t="shared" si="2"/>
        <v>4000</v>
      </c>
      <c r="E24" s="85">
        <f t="shared" si="3"/>
        <v>3601.2889928171521</v>
      </c>
      <c r="F24" s="85">
        <f t="shared" si="4"/>
        <v>32.810311942537211</v>
      </c>
      <c r="G24" s="85">
        <f t="shared" si="5"/>
        <v>4134.0993047596885</v>
      </c>
      <c r="H24" s="85">
        <f t="shared" si="6"/>
        <v>134.09930475968849</v>
      </c>
      <c r="I24" s="85">
        <f t="shared" si="7"/>
        <v>33.072794438077509</v>
      </c>
      <c r="J24" s="90">
        <f t="shared" si="8"/>
        <v>41.340993047596882</v>
      </c>
    </row>
    <row r="25" spans="2:10" x14ac:dyDescent="0.3">
      <c r="B25" s="49">
        <f t="shared" si="0"/>
        <v>7</v>
      </c>
      <c r="C25" s="84">
        <f t="shared" si="1"/>
        <v>500</v>
      </c>
      <c r="D25" s="84">
        <f t="shared" si="2"/>
        <v>4500</v>
      </c>
      <c r="E25" s="84">
        <f t="shared" si="3"/>
        <v>4134.0993047596885</v>
      </c>
      <c r="F25" s="84">
        <f t="shared" si="4"/>
        <v>37.072794438077509</v>
      </c>
      <c r="G25" s="84">
        <f t="shared" si="5"/>
        <v>4671.1720991977663</v>
      </c>
      <c r="H25" s="84">
        <f t="shared" si="6"/>
        <v>171.17209919776633</v>
      </c>
      <c r="I25" s="84">
        <f t="shared" si="7"/>
        <v>37.369376793582134</v>
      </c>
      <c r="J25" s="89">
        <f t="shared" si="8"/>
        <v>46.711720991977664</v>
      </c>
    </row>
    <row r="26" spans="2:10" x14ac:dyDescent="0.3">
      <c r="B26" s="50">
        <f t="shared" si="0"/>
        <v>8</v>
      </c>
      <c r="C26" s="85">
        <f t="shared" si="1"/>
        <v>500</v>
      </c>
      <c r="D26" s="85">
        <f t="shared" si="2"/>
        <v>5000</v>
      </c>
      <c r="E26" s="85">
        <f t="shared" si="3"/>
        <v>4671.1720991977663</v>
      </c>
      <c r="F26" s="85">
        <f t="shared" si="4"/>
        <v>41.369376793582134</v>
      </c>
      <c r="G26" s="85">
        <f t="shared" si="5"/>
        <v>5212.5414759913483</v>
      </c>
      <c r="H26" s="85">
        <f t="shared" si="6"/>
        <v>212.54147599134831</v>
      </c>
      <c r="I26" s="85">
        <f t="shared" si="7"/>
        <v>41.700331807930787</v>
      </c>
      <c r="J26" s="90">
        <f t="shared" si="8"/>
        <v>52.125414759913482</v>
      </c>
    </row>
    <row r="27" spans="2:10" x14ac:dyDescent="0.3">
      <c r="B27" s="49">
        <f t="shared" si="0"/>
        <v>9</v>
      </c>
      <c r="C27" s="84">
        <f t="shared" si="1"/>
        <v>500</v>
      </c>
      <c r="D27" s="84">
        <f t="shared" si="2"/>
        <v>5500</v>
      </c>
      <c r="E27" s="84">
        <f t="shared" si="3"/>
        <v>5212.5414759913483</v>
      </c>
      <c r="F27" s="84">
        <f t="shared" si="4"/>
        <v>45.700331807930787</v>
      </c>
      <c r="G27" s="84">
        <f t="shared" si="5"/>
        <v>5758.2418077992788</v>
      </c>
      <c r="H27" s="84">
        <f t="shared" si="6"/>
        <v>258.24180779927883</v>
      </c>
      <c r="I27" s="84">
        <f t="shared" si="7"/>
        <v>46.065934462394232</v>
      </c>
      <c r="J27" s="89">
        <f t="shared" si="8"/>
        <v>57.582418077992791</v>
      </c>
    </row>
    <row r="28" spans="2:10" x14ac:dyDescent="0.3">
      <c r="B28" s="50">
        <f t="shared" si="0"/>
        <v>10</v>
      </c>
      <c r="C28" s="85">
        <f t="shared" si="1"/>
        <v>500</v>
      </c>
      <c r="D28" s="85">
        <f t="shared" si="2"/>
        <v>6000</v>
      </c>
      <c r="E28" s="85">
        <f t="shared" si="3"/>
        <v>5758.2418077992788</v>
      </c>
      <c r="F28" s="85">
        <f t="shared" si="4"/>
        <v>50.065934462394232</v>
      </c>
      <c r="G28" s="85">
        <f t="shared" si="5"/>
        <v>6308.3077422616734</v>
      </c>
      <c r="H28" s="85">
        <f t="shared" si="6"/>
        <v>308.30774226167341</v>
      </c>
      <c r="I28" s="85">
        <f t="shared" si="7"/>
        <v>50.466461938093389</v>
      </c>
      <c r="J28" s="90">
        <f t="shared" si="8"/>
        <v>63.083077422616732</v>
      </c>
    </row>
    <row r="29" spans="2:10" x14ac:dyDescent="0.3">
      <c r="B29" s="49">
        <f t="shared" si="0"/>
        <v>11</v>
      </c>
      <c r="C29" s="84">
        <f t="shared" si="1"/>
        <v>500</v>
      </c>
      <c r="D29" s="84">
        <f t="shared" si="2"/>
        <v>6500</v>
      </c>
      <c r="E29" s="84">
        <f t="shared" si="3"/>
        <v>6308.3077422616734</v>
      </c>
      <c r="F29" s="84">
        <f t="shared" si="4"/>
        <v>54.466461938093389</v>
      </c>
      <c r="G29" s="84">
        <f t="shared" si="5"/>
        <v>6862.7742041997672</v>
      </c>
      <c r="H29" s="84">
        <f t="shared" si="6"/>
        <v>362.77420419976715</v>
      </c>
      <c r="I29" s="84">
        <f t="shared" si="7"/>
        <v>54.902193633598138</v>
      </c>
      <c r="J29" s="89">
        <f t="shared" si="8"/>
        <v>68.627742041997678</v>
      </c>
    </row>
    <row r="30" spans="2:10" x14ac:dyDescent="0.3">
      <c r="B30" s="50">
        <f t="shared" si="0"/>
        <v>12</v>
      </c>
      <c r="C30" s="85">
        <f t="shared" si="1"/>
        <v>500</v>
      </c>
      <c r="D30" s="85">
        <f t="shared" si="2"/>
        <v>7000</v>
      </c>
      <c r="E30" s="85">
        <f t="shared" si="3"/>
        <v>6862.7742041997672</v>
      </c>
      <c r="F30" s="85">
        <f t="shared" si="4"/>
        <v>58.902193633598138</v>
      </c>
      <c r="G30" s="85">
        <f t="shared" si="5"/>
        <v>7421.6763978333656</v>
      </c>
      <c r="H30" s="85">
        <f t="shared" si="6"/>
        <v>421.67639783336563</v>
      </c>
      <c r="I30" s="85">
        <f t="shared" si="7"/>
        <v>59.373411182666928</v>
      </c>
      <c r="J30" s="90">
        <f t="shared" si="8"/>
        <v>74.21676397833366</v>
      </c>
    </row>
    <row r="31" spans="2:10" x14ac:dyDescent="0.3">
      <c r="B31" s="49">
        <f t="shared" si="0"/>
        <v>13</v>
      </c>
      <c r="C31" s="84">
        <f t="shared" si="1"/>
        <v>500</v>
      </c>
      <c r="D31" s="84">
        <f t="shared" si="2"/>
        <v>7500</v>
      </c>
      <c r="E31" s="84">
        <f t="shared" si="3"/>
        <v>7421.6763978333656</v>
      </c>
      <c r="F31" s="84">
        <f t="shared" si="4"/>
        <v>63.373411182666928</v>
      </c>
      <c r="G31" s="84">
        <f t="shared" si="5"/>
        <v>7985.0498090160327</v>
      </c>
      <c r="H31" s="84">
        <f t="shared" si="6"/>
        <v>485.04980901603267</v>
      </c>
      <c r="I31" s="84">
        <f t="shared" si="7"/>
        <v>63.880398472128263</v>
      </c>
      <c r="J31" s="89">
        <f t="shared" si="8"/>
        <v>79.850498090160329</v>
      </c>
    </row>
    <row r="32" spans="2:10" x14ac:dyDescent="0.3">
      <c r="B32" s="50">
        <f t="shared" si="0"/>
        <v>14</v>
      </c>
      <c r="C32" s="85">
        <f t="shared" si="1"/>
        <v>500</v>
      </c>
      <c r="D32" s="85">
        <f t="shared" si="2"/>
        <v>8000</v>
      </c>
      <c r="E32" s="85">
        <f t="shared" si="3"/>
        <v>7985.0498090160327</v>
      </c>
      <c r="F32" s="85">
        <f t="shared" si="4"/>
        <v>67.880398472128263</v>
      </c>
      <c r="G32" s="85">
        <f t="shared" si="5"/>
        <v>8552.9302074881616</v>
      </c>
      <c r="H32" s="85">
        <f t="shared" si="6"/>
        <v>552.93020748816161</v>
      </c>
      <c r="I32" s="85">
        <f t="shared" si="7"/>
        <v>68.423441659905293</v>
      </c>
      <c r="J32" s="90">
        <f t="shared" si="8"/>
        <v>85.529302074881613</v>
      </c>
    </row>
    <row r="33" spans="2:10" x14ac:dyDescent="0.3">
      <c r="B33" s="49">
        <f t="shared" si="0"/>
        <v>15</v>
      </c>
      <c r="C33" s="84">
        <f t="shared" si="1"/>
        <v>500</v>
      </c>
      <c r="D33" s="84">
        <f t="shared" si="2"/>
        <v>8500</v>
      </c>
      <c r="E33" s="84">
        <f t="shared" si="3"/>
        <v>8552.9302074881616</v>
      </c>
      <c r="F33" s="84">
        <f t="shared" si="4"/>
        <v>72.423441659905293</v>
      </c>
      <c r="G33" s="84">
        <f t="shared" si="5"/>
        <v>9125.3536491480663</v>
      </c>
      <c r="H33" s="84">
        <f t="shared" si="6"/>
        <v>625.35364914806632</v>
      </c>
      <c r="I33" s="84">
        <f t="shared" si="7"/>
        <v>73.002829193184539</v>
      </c>
      <c r="J33" s="89">
        <f t="shared" si="8"/>
        <v>91.253536491480659</v>
      </c>
    </row>
    <row r="34" spans="2:10" x14ac:dyDescent="0.3">
      <c r="B34" s="50">
        <f t="shared" si="0"/>
        <v>16</v>
      </c>
      <c r="C34" s="85">
        <f t="shared" si="1"/>
        <v>500</v>
      </c>
      <c r="D34" s="85">
        <f t="shared" si="2"/>
        <v>9000</v>
      </c>
      <c r="E34" s="85">
        <f t="shared" si="3"/>
        <v>9125.3536491480663</v>
      </c>
      <c r="F34" s="85">
        <f t="shared" si="4"/>
        <v>77.002829193184539</v>
      </c>
      <c r="G34" s="85">
        <f t="shared" si="5"/>
        <v>9702.3564783412512</v>
      </c>
      <c r="H34" s="85">
        <f t="shared" si="6"/>
        <v>702.3564783412512</v>
      </c>
      <c r="I34" s="85">
        <f t="shared" si="7"/>
        <v>77.618851826730008</v>
      </c>
      <c r="J34" s="90">
        <f t="shared" si="8"/>
        <v>97.02356478341251</v>
      </c>
    </row>
    <row r="35" spans="2:10" x14ac:dyDescent="0.3">
      <c r="B35" s="49">
        <f t="shared" si="0"/>
        <v>17</v>
      </c>
      <c r="C35" s="84">
        <f t="shared" si="1"/>
        <v>500</v>
      </c>
      <c r="D35" s="84">
        <f t="shared" si="2"/>
        <v>9500</v>
      </c>
      <c r="E35" s="84">
        <f t="shared" si="3"/>
        <v>9702.3564783412512</v>
      </c>
      <c r="F35" s="84">
        <f t="shared" si="4"/>
        <v>81.618851826730008</v>
      </c>
      <c r="G35" s="84">
        <f t="shared" si="5"/>
        <v>10283.975330167981</v>
      </c>
      <c r="H35" s="84">
        <f t="shared" si="6"/>
        <v>783.97533016798116</v>
      </c>
      <c r="I35" s="84">
        <f t="shared" si="7"/>
        <v>82.271802641343854</v>
      </c>
      <c r="J35" s="89">
        <f t="shared" si="8"/>
        <v>102.83975330167981</v>
      </c>
    </row>
    <row r="36" spans="2:10" x14ac:dyDescent="0.3">
      <c r="B36" s="50">
        <f t="shared" si="0"/>
        <v>18</v>
      </c>
      <c r="C36" s="85">
        <f t="shared" si="1"/>
        <v>500</v>
      </c>
      <c r="D36" s="85">
        <f t="shared" si="2"/>
        <v>10000</v>
      </c>
      <c r="E36" s="85">
        <f t="shared" si="3"/>
        <v>10283.975330167981</v>
      </c>
      <c r="F36" s="85">
        <f t="shared" si="4"/>
        <v>86.271802641343854</v>
      </c>
      <c r="G36" s="85">
        <f t="shared" si="5"/>
        <v>10870.247132809325</v>
      </c>
      <c r="H36" s="85">
        <f t="shared" si="6"/>
        <v>870.24713280932519</v>
      </c>
      <c r="I36" s="85">
        <f t="shared" si="7"/>
        <v>86.961977062474602</v>
      </c>
      <c r="J36" s="90">
        <f t="shared" si="8"/>
        <v>108.70247132809325</v>
      </c>
    </row>
    <row r="37" spans="2:10" x14ac:dyDescent="0.3">
      <c r="B37" s="49">
        <f t="shared" si="0"/>
        <v>19</v>
      </c>
      <c r="C37" s="84">
        <f t="shared" si="1"/>
        <v>500</v>
      </c>
      <c r="D37" s="84">
        <f t="shared" si="2"/>
        <v>10500</v>
      </c>
      <c r="E37" s="84">
        <f t="shared" si="3"/>
        <v>10870.247132809325</v>
      </c>
      <c r="F37" s="84">
        <f t="shared" si="4"/>
        <v>90.961977062474602</v>
      </c>
      <c r="G37" s="84">
        <f t="shared" si="5"/>
        <v>11461.209109871799</v>
      </c>
      <c r="H37" s="84">
        <f t="shared" si="6"/>
        <v>961.20910987179923</v>
      </c>
      <c r="I37" s="84">
        <f t="shared" si="7"/>
        <v>91.689672878974392</v>
      </c>
      <c r="J37" s="89">
        <f t="shared" si="8"/>
        <v>114.612091098718</v>
      </c>
    </row>
    <row r="38" spans="2:10" x14ac:dyDescent="0.3">
      <c r="B38" s="50">
        <f t="shared" si="0"/>
        <v>20</v>
      </c>
      <c r="C38" s="85">
        <f t="shared" si="1"/>
        <v>500</v>
      </c>
      <c r="D38" s="85">
        <f t="shared" si="2"/>
        <v>11000</v>
      </c>
      <c r="E38" s="85">
        <f t="shared" si="3"/>
        <v>11461.209109871799</v>
      </c>
      <c r="F38" s="85">
        <f t="shared" si="4"/>
        <v>95.689672878974392</v>
      </c>
      <c r="G38" s="85">
        <f t="shared" si="5"/>
        <v>12056.898782750774</v>
      </c>
      <c r="H38" s="85">
        <f t="shared" si="6"/>
        <v>1056.8987827507735</v>
      </c>
      <c r="I38" s="85">
        <f t="shared" si="7"/>
        <v>96.455190262006184</v>
      </c>
      <c r="J38" s="90">
        <f t="shared" si="8"/>
        <v>120.56898782750774</v>
      </c>
    </row>
    <row r="39" spans="2:10" x14ac:dyDescent="0.3">
      <c r="B39" s="49">
        <f t="shared" si="0"/>
        <v>21</v>
      </c>
      <c r="C39" s="84">
        <f t="shared" si="1"/>
        <v>500</v>
      </c>
      <c r="D39" s="84">
        <f t="shared" si="2"/>
        <v>11500</v>
      </c>
      <c r="E39" s="84">
        <f t="shared" si="3"/>
        <v>12056.898782750774</v>
      </c>
      <c r="F39" s="84">
        <f t="shared" si="4"/>
        <v>100.45519026200618</v>
      </c>
      <c r="G39" s="84">
        <f t="shared" si="5"/>
        <v>12657.35397301278</v>
      </c>
      <c r="H39" s="84">
        <f t="shared" si="6"/>
        <v>1157.3539730127795</v>
      </c>
      <c r="I39" s="84">
        <f t="shared" si="7"/>
        <v>101.25883178410224</v>
      </c>
      <c r="J39" s="89">
        <f t="shared" si="8"/>
        <v>126.57353973012779</v>
      </c>
    </row>
    <row r="40" spans="2:10" x14ac:dyDescent="0.3">
      <c r="B40" s="50">
        <f t="shared" si="0"/>
        <v>22</v>
      </c>
      <c r="C40" s="85">
        <f t="shared" si="1"/>
        <v>500</v>
      </c>
      <c r="D40" s="85">
        <f t="shared" si="2"/>
        <v>12000</v>
      </c>
      <c r="E40" s="85">
        <f t="shared" si="3"/>
        <v>12657.35397301278</v>
      </c>
      <c r="F40" s="85">
        <f t="shared" si="4"/>
        <v>105.25883178410224</v>
      </c>
      <c r="G40" s="85">
        <f t="shared" si="5"/>
        <v>13262.612804796881</v>
      </c>
      <c r="H40" s="85">
        <f t="shared" si="6"/>
        <v>1262.6128047968814</v>
      </c>
      <c r="I40" s="85">
        <f t="shared" si="7"/>
        <v>106.10090243837506</v>
      </c>
      <c r="J40" s="90">
        <f t="shared" si="8"/>
        <v>132.62612804796882</v>
      </c>
    </row>
    <row r="41" spans="2:10" x14ac:dyDescent="0.3">
      <c r="B41" s="49">
        <f t="shared" si="0"/>
        <v>23</v>
      </c>
      <c r="C41" s="84">
        <f t="shared" si="1"/>
        <v>500</v>
      </c>
      <c r="D41" s="84">
        <f t="shared" si="2"/>
        <v>12500</v>
      </c>
      <c r="E41" s="84">
        <f t="shared" si="3"/>
        <v>13262.612804796881</v>
      </c>
      <c r="F41" s="84">
        <f t="shared" si="4"/>
        <v>110.10090243837506</v>
      </c>
      <c r="G41" s="84">
        <f t="shared" si="5"/>
        <v>13872.713707235256</v>
      </c>
      <c r="H41" s="84">
        <f t="shared" si="6"/>
        <v>1372.7137072352562</v>
      </c>
      <c r="I41" s="84">
        <f t="shared" si="7"/>
        <v>110.98170965788205</v>
      </c>
      <c r="J41" s="89">
        <f t="shared" si="8"/>
        <v>138.72713707235255</v>
      </c>
    </row>
    <row r="42" spans="2:10" x14ac:dyDescent="0.3">
      <c r="B42" s="50">
        <f t="shared" si="0"/>
        <v>24</v>
      </c>
      <c r="C42" s="85">
        <f t="shared" si="1"/>
        <v>500</v>
      </c>
      <c r="D42" s="85">
        <f t="shared" si="2"/>
        <v>13000</v>
      </c>
      <c r="E42" s="85">
        <f t="shared" si="3"/>
        <v>13872.713707235256</v>
      </c>
      <c r="F42" s="85">
        <f t="shared" si="4"/>
        <v>114.98170965788205</v>
      </c>
      <c r="G42" s="85">
        <f t="shared" si="5"/>
        <v>14487.695416893139</v>
      </c>
      <c r="H42" s="85">
        <f t="shared" si="6"/>
        <v>1487.6954168931388</v>
      </c>
      <c r="I42" s="85">
        <f t="shared" si="7"/>
        <v>115.90156333514511</v>
      </c>
      <c r="J42" s="90">
        <f t="shared" si="8"/>
        <v>144.87695416893138</v>
      </c>
    </row>
    <row r="43" spans="2:10" x14ac:dyDescent="0.3">
      <c r="B43" s="49">
        <f t="shared" si="0"/>
        <v>25</v>
      </c>
      <c r="C43" s="84">
        <f t="shared" si="1"/>
        <v>500</v>
      </c>
      <c r="D43" s="84">
        <f t="shared" si="2"/>
        <v>13500</v>
      </c>
      <c r="E43" s="84">
        <f t="shared" si="3"/>
        <v>14487.695416893139</v>
      </c>
      <c r="F43" s="84">
        <f t="shared" si="4"/>
        <v>119.90156333514511</v>
      </c>
      <c r="G43" s="84">
        <f t="shared" si="5"/>
        <v>15107.596980228283</v>
      </c>
      <c r="H43" s="84">
        <f t="shared" si="6"/>
        <v>1607.5969802282834</v>
      </c>
      <c r="I43" s="84">
        <f t="shared" si="7"/>
        <v>120.86077584182627</v>
      </c>
      <c r="J43" s="89">
        <f t="shared" si="8"/>
        <v>151.07596980228283</v>
      </c>
    </row>
    <row r="44" spans="2:10" x14ac:dyDescent="0.3">
      <c r="B44" s="50">
        <f t="shared" si="0"/>
        <v>26</v>
      </c>
      <c r="C44" s="85">
        <f t="shared" si="1"/>
        <v>500</v>
      </c>
      <c r="D44" s="85">
        <f t="shared" si="2"/>
        <v>14000</v>
      </c>
      <c r="E44" s="85">
        <f t="shared" si="3"/>
        <v>15107.596980228283</v>
      </c>
      <c r="F44" s="85">
        <f t="shared" si="4"/>
        <v>124.86077584182627</v>
      </c>
      <c r="G44" s="85">
        <f t="shared" si="5"/>
        <v>15732.457756070109</v>
      </c>
      <c r="H44" s="85">
        <f t="shared" si="6"/>
        <v>1732.4577560701091</v>
      </c>
      <c r="I44" s="85">
        <f t="shared" si="7"/>
        <v>125.85966204856088</v>
      </c>
      <c r="J44" s="90">
        <f t="shared" si="8"/>
        <v>157.3245775607011</v>
      </c>
    </row>
    <row r="45" spans="2:10" x14ac:dyDescent="0.3">
      <c r="B45" s="49">
        <f t="shared" si="0"/>
        <v>27</v>
      </c>
      <c r="C45" s="84">
        <f t="shared" si="1"/>
        <v>500</v>
      </c>
      <c r="D45" s="84">
        <f t="shared" si="2"/>
        <v>14500</v>
      </c>
      <c r="E45" s="84">
        <f t="shared" si="3"/>
        <v>15732.457756070109</v>
      </c>
      <c r="F45" s="84">
        <f t="shared" si="4"/>
        <v>129.85966204856086</v>
      </c>
      <c r="G45" s="84">
        <f t="shared" si="5"/>
        <v>16362.31741811867</v>
      </c>
      <c r="H45" s="84">
        <f t="shared" si="6"/>
        <v>1862.3174181186696</v>
      </c>
      <c r="I45" s="84">
        <f t="shared" si="7"/>
        <v>130.89853934494937</v>
      </c>
      <c r="J45" s="89">
        <f t="shared" si="8"/>
        <v>163.6231741811867</v>
      </c>
    </row>
    <row r="46" spans="2:10" x14ac:dyDescent="0.3">
      <c r="B46" s="50">
        <f t="shared" si="0"/>
        <v>28</v>
      </c>
      <c r="C46" s="85">
        <f t="shared" si="1"/>
        <v>500</v>
      </c>
      <c r="D46" s="85">
        <f t="shared" si="2"/>
        <v>15000</v>
      </c>
      <c r="E46" s="85">
        <f t="shared" si="3"/>
        <v>16362.31741811867</v>
      </c>
      <c r="F46" s="85">
        <f t="shared" si="4"/>
        <v>134.89853934494937</v>
      </c>
      <c r="G46" s="85">
        <f t="shared" si="5"/>
        <v>16997.215957463621</v>
      </c>
      <c r="H46" s="85">
        <f t="shared" si="6"/>
        <v>1997.2159574636207</v>
      </c>
      <c r="I46" s="85">
        <f t="shared" si="7"/>
        <v>135.97772765970896</v>
      </c>
      <c r="J46" s="90">
        <f t="shared" si="8"/>
        <v>169.97215957463621</v>
      </c>
    </row>
    <row r="47" spans="2:10" x14ac:dyDescent="0.3">
      <c r="B47" s="49">
        <f t="shared" si="0"/>
        <v>29</v>
      </c>
      <c r="C47" s="84">
        <f t="shared" si="1"/>
        <v>500</v>
      </c>
      <c r="D47" s="84">
        <f t="shared" si="2"/>
        <v>15500</v>
      </c>
      <c r="E47" s="84">
        <f t="shared" si="3"/>
        <v>16997.215957463621</v>
      </c>
      <c r="F47" s="84">
        <f t="shared" si="4"/>
        <v>139.97772765970896</v>
      </c>
      <c r="G47" s="84">
        <f t="shared" si="5"/>
        <v>17637.193685123329</v>
      </c>
      <c r="H47" s="84">
        <f t="shared" si="6"/>
        <v>2137.1936851233295</v>
      </c>
      <c r="I47" s="84">
        <f t="shared" si="7"/>
        <v>141.09754948098663</v>
      </c>
      <c r="J47" s="89">
        <f t="shared" si="8"/>
        <v>176.3719368512333</v>
      </c>
    </row>
    <row r="48" spans="2:10" x14ac:dyDescent="0.3">
      <c r="B48" s="50">
        <f t="shared" si="0"/>
        <v>30</v>
      </c>
      <c r="C48" s="85">
        <f t="shared" si="1"/>
        <v>500</v>
      </c>
      <c r="D48" s="85">
        <f t="shared" si="2"/>
        <v>16000</v>
      </c>
      <c r="E48" s="85">
        <f t="shared" si="3"/>
        <v>17637.193685123329</v>
      </c>
      <c r="F48" s="85">
        <f t="shared" si="4"/>
        <v>145.09754948098663</v>
      </c>
      <c r="G48" s="85">
        <f t="shared" si="5"/>
        <v>18282.291234604316</v>
      </c>
      <c r="H48" s="85">
        <f t="shared" si="6"/>
        <v>2282.2912346043158</v>
      </c>
      <c r="I48" s="85">
        <f t="shared" si="7"/>
        <v>146.25832987683452</v>
      </c>
      <c r="J48" s="90">
        <f t="shared" si="8"/>
        <v>182.82291234604315</v>
      </c>
    </row>
    <row r="49" spans="2:10" x14ac:dyDescent="0.3">
      <c r="B49" s="49">
        <f t="shared" si="0"/>
        <v>31</v>
      </c>
      <c r="C49" s="84">
        <f t="shared" si="1"/>
        <v>500</v>
      </c>
      <c r="D49" s="84">
        <f t="shared" si="2"/>
        <v>16500</v>
      </c>
      <c r="E49" s="84">
        <f t="shared" si="3"/>
        <v>18282.291234604316</v>
      </c>
      <c r="F49" s="84">
        <f t="shared" si="4"/>
        <v>150.25832987683452</v>
      </c>
      <c r="G49" s="84">
        <f t="shared" si="5"/>
        <v>18932.549564481149</v>
      </c>
      <c r="H49" s="84">
        <f t="shared" si="6"/>
        <v>2432.549564481149</v>
      </c>
      <c r="I49" s="84">
        <f t="shared" si="7"/>
        <v>151.4603965158492</v>
      </c>
      <c r="J49" s="89">
        <f t="shared" si="8"/>
        <v>189.3254956448115</v>
      </c>
    </row>
    <row r="50" spans="2:10" x14ac:dyDescent="0.3">
      <c r="B50" s="50">
        <f t="shared" si="0"/>
        <v>32</v>
      </c>
      <c r="C50" s="85">
        <f t="shared" si="1"/>
        <v>500</v>
      </c>
      <c r="D50" s="85">
        <f t="shared" si="2"/>
        <v>17000</v>
      </c>
      <c r="E50" s="85">
        <f t="shared" si="3"/>
        <v>18932.549564481149</v>
      </c>
      <c r="F50" s="85">
        <f t="shared" si="4"/>
        <v>155.4603965158492</v>
      </c>
      <c r="G50" s="85">
        <f t="shared" si="5"/>
        <v>19588.009960996998</v>
      </c>
      <c r="H50" s="85">
        <f t="shared" si="6"/>
        <v>2588.0099609969984</v>
      </c>
      <c r="I50" s="85">
        <f t="shared" si="7"/>
        <v>156.70407968797599</v>
      </c>
      <c r="J50" s="90">
        <f t="shared" si="8"/>
        <v>195.88009960996999</v>
      </c>
    </row>
    <row r="51" spans="2:10" x14ac:dyDescent="0.3">
      <c r="B51" s="49">
        <f t="shared" ref="B51:B82" si="9">IF(ROW()-18&lt;=$C$8,ROW()-18,"")</f>
        <v>33</v>
      </c>
      <c r="C51" s="84">
        <f t="shared" ref="C51:C82" si="10">IF(B51="","",$C$7)</f>
        <v>500</v>
      </c>
      <c r="D51" s="84">
        <f t="shared" ref="D51:D82" si="11">IF(B51="","",$C$6+C51*B51)</f>
        <v>17500</v>
      </c>
      <c r="E51" s="84">
        <f t="shared" ref="E51:E82" si="12">IF(B51="","",IF(B51=1,$C$6,E50*0+G50))</f>
        <v>19588.009960996998</v>
      </c>
      <c r="F51" s="84">
        <f t="shared" ref="F51:F82" si="13">IF(B51="","",IFERROR((E51+C51)*$C$9,0))</f>
        <v>160.70407968797599</v>
      </c>
      <c r="G51" s="84">
        <f t="shared" ref="G51:G82" si="14">IF(B51="","",E51+C51+F51)</f>
        <v>20248.714040684976</v>
      </c>
      <c r="H51" s="84">
        <f t="shared" ref="H51:H82" si="15">IF(B51="","",G51-D51)</f>
        <v>2748.7140406849758</v>
      </c>
      <c r="I51" s="84">
        <f t="shared" ref="I51:I82" si="16">IF(B51="","",IFERROR(G51*$C$11,0))</f>
        <v>161.98971232547981</v>
      </c>
      <c r="J51" s="89">
        <f t="shared" ref="J51:J82" si="17">IF(B51="","",IFERROR(G51/$C$10,0))</f>
        <v>202.48714040684976</v>
      </c>
    </row>
    <row r="52" spans="2:10" x14ac:dyDescent="0.3">
      <c r="B52" s="50">
        <f t="shared" si="9"/>
        <v>34</v>
      </c>
      <c r="C52" s="85">
        <f t="shared" si="10"/>
        <v>500</v>
      </c>
      <c r="D52" s="85">
        <f t="shared" si="11"/>
        <v>18000</v>
      </c>
      <c r="E52" s="85">
        <f t="shared" si="12"/>
        <v>20248.714040684976</v>
      </c>
      <c r="F52" s="85">
        <f t="shared" si="13"/>
        <v>165.98971232547981</v>
      </c>
      <c r="G52" s="85">
        <f t="shared" si="14"/>
        <v>20914.703753010457</v>
      </c>
      <c r="H52" s="85">
        <f t="shared" si="15"/>
        <v>2914.7037530104571</v>
      </c>
      <c r="I52" s="85">
        <f t="shared" si="16"/>
        <v>167.31763002408366</v>
      </c>
      <c r="J52" s="90">
        <f t="shared" si="17"/>
        <v>209.14703753010457</v>
      </c>
    </row>
    <row r="53" spans="2:10" x14ac:dyDescent="0.3">
      <c r="B53" s="49">
        <f t="shared" si="9"/>
        <v>35</v>
      </c>
      <c r="C53" s="84">
        <f t="shared" si="10"/>
        <v>500</v>
      </c>
      <c r="D53" s="84">
        <f t="shared" si="11"/>
        <v>18500</v>
      </c>
      <c r="E53" s="84">
        <f t="shared" si="12"/>
        <v>20914.703753010457</v>
      </c>
      <c r="F53" s="84">
        <f t="shared" si="13"/>
        <v>171.31763002408366</v>
      </c>
      <c r="G53" s="84">
        <f t="shared" si="14"/>
        <v>21586.021383034542</v>
      </c>
      <c r="H53" s="84">
        <f t="shared" si="15"/>
        <v>3086.0213830345419</v>
      </c>
      <c r="I53" s="84">
        <f t="shared" si="16"/>
        <v>172.68817106427633</v>
      </c>
      <c r="J53" s="89">
        <f t="shared" si="17"/>
        <v>215.86021383034543</v>
      </c>
    </row>
    <row r="54" spans="2:10" x14ac:dyDescent="0.3">
      <c r="B54" s="50">
        <f t="shared" si="9"/>
        <v>36</v>
      </c>
      <c r="C54" s="85">
        <f t="shared" si="10"/>
        <v>500</v>
      </c>
      <c r="D54" s="85">
        <f t="shared" si="11"/>
        <v>19000</v>
      </c>
      <c r="E54" s="85">
        <f t="shared" si="12"/>
        <v>21586.021383034542</v>
      </c>
      <c r="F54" s="85">
        <f t="shared" si="13"/>
        <v>176.68817106427633</v>
      </c>
      <c r="G54" s="85">
        <f t="shared" si="14"/>
        <v>22262.709554098819</v>
      </c>
      <c r="H54" s="85">
        <f t="shared" si="15"/>
        <v>3262.7095540988194</v>
      </c>
      <c r="I54" s="85">
        <f t="shared" si="16"/>
        <v>178.10167643279055</v>
      </c>
      <c r="J54" s="90">
        <f t="shared" si="17"/>
        <v>222.62709554098819</v>
      </c>
    </row>
    <row r="55" spans="2:10" x14ac:dyDescent="0.3">
      <c r="B55" s="49">
        <f t="shared" si="9"/>
        <v>37</v>
      </c>
      <c r="C55" s="84">
        <f t="shared" si="10"/>
        <v>500</v>
      </c>
      <c r="D55" s="84">
        <f t="shared" si="11"/>
        <v>19500</v>
      </c>
      <c r="E55" s="84">
        <f t="shared" si="12"/>
        <v>22262.709554098819</v>
      </c>
      <c r="F55" s="84">
        <f t="shared" si="13"/>
        <v>182.10167643279055</v>
      </c>
      <c r="G55" s="84">
        <f t="shared" si="14"/>
        <v>22944.81123053161</v>
      </c>
      <c r="H55" s="84">
        <f t="shared" si="15"/>
        <v>3444.8112305316099</v>
      </c>
      <c r="I55" s="84">
        <f t="shared" si="16"/>
        <v>183.55848984425288</v>
      </c>
      <c r="J55" s="89">
        <f t="shared" si="17"/>
        <v>229.4481123053161</v>
      </c>
    </row>
    <row r="56" spans="2:10" x14ac:dyDescent="0.3">
      <c r="B56" s="50">
        <f t="shared" si="9"/>
        <v>38</v>
      </c>
      <c r="C56" s="85">
        <f t="shared" si="10"/>
        <v>500</v>
      </c>
      <c r="D56" s="85">
        <f t="shared" si="11"/>
        <v>20000</v>
      </c>
      <c r="E56" s="85">
        <f t="shared" si="12"/>
        <v>22944.81123053161</v>
      </c>
      <c r="F56" s="85">
        <f t="shared" si="13"/>
        <v>187.55848984425288</v>
      </c>
      <c r="G56" s="85">
        <f t="shared" si="14"/>
        <v>23632.369720375864</v>
      </c>
      <c r="H56" s="85">
        <f t="shared" si="15"/>
        <v>3632.3697203758638</v>
      </c>
      <c r="I56" s="85">
        <f t="shared" si="16"/>
        <v>189.0589577630069</v>
      </c>
      <c r="J56" s="90">
        <f t="shared" si="17"/>
        <v>236.32369720375863</v>
      </c>
    </row>
    <row r="57" spans="2:10" x14ac:dyDescent="0.3">
      <c r="B57" s="49">
        <f t="shared" si="9"/>
        <v>39</v>
      </c>
      <c r="C57" s="84">
        <f t="shared" si="10"/>
        <v>500</v>
      </c>
      <c r="D57" s="84">
        <f t="shared" si="11"/>
        <v>20500</v>
      </c>
      <c r="E57" s="84">
        <f t="shared" si="12"/>
        <v>23632.369720375864</v>
      </c>
      <c r="F57" s="84">
        <f t="shared" si="13"/>
        <v>193.0589577630069</v>
      </c>
      <c r="G57" s="84">
        <f t="shared" si="14"/>
        <v>24325.428678138869</v>
      </c>
      <c r="H57" s="84">
        <f t="shared" si="15"/>
        <v>3825.4286781388691</v>
      </c>
      <c r="I57" s="84">
        <f t="shared" si="16"/>
        <v>194.60342942511096</v>
      </c>
      <c r="J57" s="89">
        <f t="shared" si="17"/>
        <v>243.25428678138869</v>
      </c>
    </row>
    <row r="58" spans="2:10" x14ac:dyDescent="0.3">
      <c r="B58" s="50">
        <f t="shared" si="9"/>
        <v>40</v>
      </c>
      <c r="C58" s="85">
        <f t="shared" si="10"/>
        <v>500</v>
      </c>
      <c r="D58" s="85">
        <f t="shared" si="11"/>
        <v>21000</v>
      </c>
      <c r="E58" s="85">
        <f t="shared" si="12"/>
        <v>24325.428678138869</v>
      </c>
      <c r="F58" s="85">
        <f t="shared" si="13"/>
        <v>198.60342942511096</v>
      </c>
      <c r="G58" s="85">
        <f t="shared" si="14"/>
        <v>25024.03210756398</v>
      </c>
      <c r="H58" s="85">
        <f t="shared" si="15"/>
        <v>4024.0321075639804</v>
      </c>
      <c r="I58" s="85">
        <f t="shared" si="16"/>
        <v>200.19225686051186</v>
      </c>
      <c r="J58" s="90">
        <f t="shared" si="17"/>
        <v>250.2403210756398</v>
      </c>
    </row>
    <row r="59" spans="2:10" x14ac:dyDescent="0.3">
      <c r="B59" s="49">
        <f t="shared" si="9"/>
        <v>41</v>
      </c>
      <c r="C59" s="84">
        <f t="shared" si="10"/>
        <v>500</v>
      </c>
      <c r="D59" s="84">
        <f t="shared" si="11"/>
        <v>21500</v>
      </c>
      <c r="E59" s="84">
        <f t="shared" si="12"/>
        <v>25024.03210756398</v>
      </c>
      <c r="F59" s="84">
        <f t="shared" si="13"/>
        <v>204.19225686051186</v>
      </c>
      <c r="G59" s="84">
        <f t="shared" si="14"/>
        <v>25728.224364424492</v>
      </c>
      <c r="H59" s="84">
        <f t="shared" si="15"/>
        <v>4228.2243644244918</v>
      </c>
      <c r="I59" s="84">
        <f t="shared" si="16"/>
        <v>205.82579491539593</v>
      </c>
      <c r="J59" s="89">
        <f t="shared" si="17"/>
        <v>257.28224364424494</v>
      </c>
    </row>
    <row r="60" spans="2:10" x14ac:dyDescent="0.3">
      <c r="B60" s="50">
        <f t="shared" si="9"/>
        <v>42</v>
      </c>
      <c r="C60" s="85">
        <f t="shared" si="10"/>
        <v>500</v>
      </c>
      <c r="D60" s="85">
        <f t="shared" si="11"/>
        <v>22000</v>
      </c>
      <c r="E60" s="85">
        <f t="shared" si="12"/>
        <v>25728.224364424492</v>
      </c>
      <c r="F60" s="85">
        <f t="shared" si="13"/>
        <v>209.82579491539593</v>
      </c>
      <c r="G60" s="85">
        <f t="shared" si="14"/>
        <v>26438.050159339888</v>
      </c>
      <c r="H60" s="85">
        <f t="shared" si="15"/>
        <v>4438.0501593398876</v>
      </c>
      <c r="I60" s="85">
        <f t="shared" si="16"/>
        <v>211.5044012747191</v>
      </c>
      <c r="J60" s="90">
        <f t="shared" si="17"/>
        <v>264.38050159339889</v>
      </c>
    </row>
    <row r="61" spans="2:10" x14ac:dyDescent="0.3">
      <c r="B61" s="49">
        <f t="shared" si="9"/>
        <v>43</v>
      </c>
      <c r="C61" s="84">
        <f t="shared" si="10"/>
        <v>500</v>
      </c>
      <c r="D61" s="84">
        <f t="shared" si="11"/>
        <v>22500</v>
      </c>
      <c r="E61" s="84">
        <f t="shared" si="12"/>
        <v>26438.050159339888</v>
      </c>
      <c r="F61" s="84">
        <f t="shared" si="13"/>
        <v>215.5044012747191</v>
      </c>
      <c r="G61" s="84">
        <f t="shared" si="14"/>
        <v>27153.554560614608</v>
      </c>
      <c r="H61" s="84">
        <f t="shared" si="15"/>
        <v>4653.5545606146079</v>
      </c>
      <c r="I61" s="84">
        <f t="shared" si="16"/>
        <v>217.22843648491687</v>
      </c>
      <c r="J61" s="89">
        <f t="shared" si="17"/>
        <v>271.53554560614606</v>
      </c>
    </row>
    <row r="62" spans="2:10" x14ac:dyDescent="0.3">
      <c r="B62" s="50">
        <f t="shared" si="9"/>
        <v>44</v>
      </c>
      <c r="C62" s="85">
        <f t="shared" si="10"/>
        <v>500</v>
      </c>
      <c r="D62" s="85">
        <f t="shared" si="11"/>
        <v>23000</v>
      </c>
      <c r="E62" s="85">
        <f t="shared" si="12"/>
        <v>27153.554560614608</v>
      </c>
      <c r="F62" s="85">
        <f t="shared" si="13"/>
        <v>221.22843648491687</v>
      </c>
      <c r="G62" s="85">
        <f t="shared" si="14"/>
        <v>27874.782997099526</v>
      </c>
      <c r="H62" s="85">
        <f t="shared" si="15"/>
        <v>4874.7829970995263</v>
      </c>
      <c r="I62" s="85">
        <f t="shared" si="16"/>
        <v>222.99826397679621</v>
      </c>
      <c r="J62" s="90">
        <f t="shared" si="17"/>
        <v>278.74782997099527</v>
      </c>
    </row>
    <row r="63" spans="2:10" x14ac:dyDescent="0.3">
      <c r="B63" s="49">
        <f t="shared" si="9"/>
        <v>45</v>
      </c>
      <c r="C63" s="84">
        <f t="shared" si="10"/>
        <v>500</v>
      </c>
      <c r="D63" s="84">
        <f t="shared" si="11"/>
        <v>23500</v>
      </c>
      <c r="E63" s="84">
        <f t="shared" si="12"/>
        <v>27874.782997099526</v>
      </c>
      <c r="F63" s="84">
        <f t="shared" si="13"/>
        <v>226.99826397679621</v>
      </c>
      <c r="G63" s="84">
        <f t="shared" si="14"/>
        <v>28601.781261076321</v>
      </c>
      <c r="H63" s="84">
        <f t="shared" si="15"/>
        <v>5101.7812610763212</v>
      </c>
      <c r="I63" s="84">
        <f t="shared" si="16"/>
        <v>228.81425008861058</v>
      </c>
      <c r="J63" s="89">
        <f t="shared" si="17"/>
        <v>286.0178126107632</v>
      </c>
    </row>
    <row r="64" spans="2:10" x14ac:dyDescent="0.3">
      <c r="B64" s="50">
        <f t="shared" si="9"/>
        <v>46</v>
      </c>
      <c r="C64" s="85">
        <f t="shared" si="10"/>
        <v>500</v>
      </c>
      <c r="D64" s="85">
        <f t="shared" si="11"/>
        <v>24000</v>
      </c>
      <c r="E64" s="85">
        <f t="shared" si="12"/>
        <v>28601.781261076321</v>
      </c>
      <c r="F64" s="85">
        <f t="shared" si="13"/>
        <v>232.81425008861058</v>
      </c>
      <c r="G64" s="85">
        <f t="shared" si="14"/>
        <v>29334.595511164931</v>
      </c>
      <c r="H64" s="85">
        <f t="shared" si="15"/>
        <v>5334.5955111649309</v>
      </c>
      <c r="I64" s="85">
        <f t="shared" si="16"/>
        <v>234.67676408931945</v>
      </c>
      <c r="J64" s="90">
        <f t="shared" si="17"/>
        <v>293.34595511164929</v>
      </c>
    </row>
    <row r="65" spans="2:10" x14ac:dyDescent="0.3">
      <c r="B65" s="49">
        <f t="shared" si="9"/>
        <v>47</v>
      </c>
      <c r="C65" s="84">
        <f t="shared" si="10"/>
        <v>500</v>
      </c>
      <c r="D65" s="84">
        <f t="shared" si="11"/>
        <v>24500</v>
      </c>
      <c r="E65" s="84">
        <f t="shared" si="12"/>
        <v>29334.595511164931</v>
      </c>
      <c r="F65" s="84">
        <f t="shared" si="13"/>
        <v>238.67676408931945</v>
      </c>
      <c r="G65" s="84">
        <f t="shared" si="14"/>
        <v>30073.27227525425</v>
      </c>
      <c r="H65" s="84">
        <f t="shared" si="15"/>
        <v>5573.2722752542504</v>
      </c>
      <c r="I65" s="84">
        <f t="shared" si="16"/>
        <v>240.58617820203401</v>
      </c>
      <c r="J65" s="89">
        <f t="shared" si="17"/>
        <v>300.73272275254249</v>
      </c>
    </row>
    <row r="66" spans="2:10" x14ac:dyDescent="0.3">
      <c r="B66" s="50">
        <f t="shared" si="9"/>
        <v>48</v>
      </c>
      <c r="C66" s="85">
        <f t="shared" si="10"/>
        <v>500</v>
      </c>
      <c r="D66" s="85">
        <f t="shared" si="11"/>
        <v>25000</v>
      </c>
      <c r="E66" s="85">
        <f t="shared" si="12"/>
        <v>30073.27227525425</v>
      </c>
      <c r="F66" s="85">
        <f t="shared" si="13"/>
        <v>244.58617820203401</v>
      </c>
      <c r="G66" s="85">
        <f t="shared" si="14"/>
        <v>30817.858453456283</v>
      </c>
      <c r="H66" s="85">
        <f t="shared" si="15"/>
        <v>5817.8584534562833</v>
      </c>
      <c r="I66" s="85">
        <f t="shared" si="16"/>
        <v>246.54286762765028</v>
      </c>
      <c r="J66" s="90">
        <f t="shared" si="17"/>
        <v>308.17858453456284</v>
      </c>
    </row>
    <row r="67" spans="2:10" x14ac:dyDescent="0.3">
      <c r="B67" s="49">
        <f t="shared" si="9"/>
        <v>49</v>
      </c>
      <c r="C67" s="84">
        <f t="shared" si="10"/>
        <v>500</v>
      </c>
      <c r="D67" s="84">
        <f t="shared" si="11"/>
        <v>25500</v>
      </c>
      <c r="E67" s="84">
        <f t="shared" si="12"/>
        <v>30817.858453456283</v>
      </c>
      <c r="F67" s="84">
        <f t="shared" si="13"/>
        <v>250.54286762765028</v>
      </c>
      <c r="G67" s="84">
        <f t="shared" si="14"/>
        <v>31568.401321083933</v>
      </c>
      <c r="H67" s="84">
        <f t="shared" si="15"/>
        <v>6068.401321083933</v>
      </c>
      <c r="I67" s="84">
        <f t="shared" si="16"/>
        <v>252.54721056867146</v>
      </c>
      <c r="J67" s="89">
        <f t="shared" si="17"/>
        <v>315.68401321083934</v>
      </c>
    </row>
    <row r="68" spans="2:10" x14ac:dyDescent="0.3">
      <c r="B68" s="50">
        <f t="shared" si="9"/>
        <v>50</v>
      </c>
      <c r="C68" s="85">
        <f t="shared" si="10"/>
        <v>500</v>
      </c>
      <c r="D68" s="85">
        <f t="shared" si="11"/>
        <v>26000</v>
      </c>
      <c r="E68" s="85">
        <f t="shared" si="12"/>
        <v>31568.401321083933</v>
      </c>
      <c r="F68" s="85">
        <f t="shared" si="13"/>
        <v>256.54721056867146</v>
      </c>
      <c r="G68" s="85">
        <f t="shared" si="14"/>
        <v>32324.948531652604</v>
      </c>
      <c r="H68" s="85">
        <f t="shared" si="15"/>
        <v>6324.9485316526043</v>
      </c>
      <c r="I68" s="85">
        <f t="shared" si="16"/>
        <v>258.59958825322082</v>
      </c>
      <c r="J68" s="90">
        <f t="shared" si="17"/>
        <v>323.24948531652603</v>
      </c>
    </row>
    <row r="69" spans="2:10" x14ac:dyDescent="0.3">
      <c r="B69" s="49">
        <f t="shared" si="9"/>
        <v>51</v>
      </c>
      <c r="C69" s="84">
        <f t="shared" si="10"/>
        <v>500</v>
      </c>
      <c r="D69" s="84">
        <f t="shared" si="11"/>
        <v>26500</v>
      </c>
      <c r="E69" s="84">
        <f t="shared" si="12"/>
        <v>32324.948531652604</v>
      </c>
      <c r="F69" s="84">
        <f t="shared" si="13"/>
        <v>262.59958825322082</v>
      </c>
      <c r="G69" s="84">
        <f t="shared" si="14"/>
        <v>33087.548119905827</v>
      </c>
      <c r="H69" s="84">
        <f t="shared" si="15"/>
        <v>6587.5481199058268</v>
      </c>
      <c r="I69" s="84">
        <f t="shared" si="16"/>
        <v>264.70038495924661</v>
      </c>
      <c r="J69" s="89">
        <f t="shared" si="17"/>
        <v>330.87548119905824</v>
      </c>
    </row>
    <row r="70" spans="2:10" x14ac:dyDescent="0.3">
      <c r="B70" s="50">
        <f t="shared" si="9"/>
        <v>52</v>
      </c>
      <c r="C70" s="85">
        <f t="shared" si="10"/>
        <v>500</v>
      </c>
      <c r="D70" s="85">
        <f t="shared" si="11"/>
        <v>27000</v>
      </c>
      <c r="E70" s="85">
        <f t="shared" si="12"/>
        <v>33087.548119905827</v>
      </c>
      <c r="F70" s="85">
        <f t="shared" si="13"/>
        <v>268.70038495924661</v>
      </c>
      <c r="G70" s="85">
        <f t="shared" si="14"/>
        <v>33856.248504865071</v>
      </c>
      <c r="H70" s="85">
        <f t="shared" si="15"/>
        <v>6856.2485048650706</v>
      </c>
      <c r="I70" s="85">
        <f t="shared" si="16"/>
        <v>270.84998803892057</v>
      </c>
      <c r="J70" s="90">
        <f t="shared" si="17"/>
        <v>338.56248504865073</v>
      </c>
    </row>
    <row r="71" spans="2:10" x14ac:dyDescent="0.3">
      <c r="B71" s="49">
        <f t="shared" si="9"/>
        <v>53</v>
      </c>
      <c r="C71" s="84">
        <f t="shared" si="10"/>
        <v>500</v>
      </c>
      <c r="D71" s="84">
        <f t="shared" si="11"/>
        <v>27500</v>
      </c>
      <c r="E71" s="84">
        <f t="shared" si="12"/>
        <v>33856.248504865071</v>
      </c>
      <c r="F71" s="84">
        <f t="shared" si="13"/>
        <v>274.84998803892057</v>
      </c>
      <c r="G71" s="84">
        <f t="shared" si="14"/>
        <v>34631.098492903991</v>
      </c>
      <c r="H71" s="84">
        <f t="shared" si="15"/>
        <v>7131.0984929039914</v>
      </c>
      <c r="I71" s="84">
        <f t="shared" si="16"/>
        <v>277.04878794323196</v>
      </c>
      <c r="J71" s="89">
        <f t="shared" si="17"/>
        <v>346.31098492903993</v>
      </c>
    </row>
    <row r="72" spans="2:10" x14ac:dyDescent="0.3">
      <c r="B72" s="50">
        <f t="shared" si="9"/>
        <v>54</v>
      </c>
      <c r="C72" s="85">
        <f t="shared" si="10"/>
        <v>500</v>
      </c>
      <c r="D72" s="85">
        <f t="shared" si="11"/>
        <v>28000</v>
      </c>
      <c r="E72" s="85">
        <f t="shared" si="12"/>
        <v>34631.098492903991</v>
      </c>
      <c r="F72" s="85">
        <f t="shared" si="13"/>
        <v>281.04878794323196</v>
      </c>
      <c r="G72" s="85">
        <f t="shared" si="14"/>
        <v>35412.147280847224</v>
      </c>
      <c r="H72" s="85">
        <f t="shared" si="15"/>
        <v>7412.1472808472245</v>
      </c>
      <c r="I72" s="85">
        <f t="shared" si="16"/>
        <v>283.29717824677778</v>
      </c>
      <c r="J72" s="90">
        <f t="shared" si="17"/>
        <v>354.12147280847222</v>
      </c>
    </row>
    <row r="73" spans="2:10" x14ac:dyDescent="0.3">
      <c r="B73" s="49">
        <f t="shared" si="9"/>
        <v>55</v>
      </c>
      <c r="C73" s="84">
        <f t="shared" si="10"/>
        <v>500</v>
      </c>
      <c r="D73" s="84">
        <f t="shared" si="11"/>
        <v>28500</v>
      </c>
      <c r="E73" s="84">
        <f t="shared" si="12"/>
        <v>35412.147280847224</v>
      </c>
      <c r="F73" s="84">
        <f t="shared" si="13"/>
        <v>287.29717824677778</v>
      </c>
      <c r="G73" s="84">
        <f t="shared" si="14"/>
        <v>36199.444459094004</v>
      </c>
      <c r="H73" s="84">
        <f t="shared" si="15"/>
        <v>7699.4444590940038</v>
      </c>
      <c r="I73" s="84">
        <f t="shared" si="16"/>
        <v>289.59555567275203</v>
      </c>
      <c r="J73" s="89">
        <f t="shared" si="17"/>
        <v>361.99444459094002</v>
      </c>
    </row>
    <row r="74" spans="2:10" x14ac:dyDescent="0.3">
      <c r="B74" s="50">
        <f t="shared" si="9"/>
        <v>56</v>
      </c>
      <c r="C74" s="85">
        <f t="shared" si="10"/>
        <v>500</v>
      </c>
      <c r="D74" s="85">
        <f t="shared" si="11"/>
        <v>29000</v>
      </c>
      <c r="E74" s="85">
        <f t="shared" si="12"/>
        <v>36199.444459094004</v>
      </c>
      <c r="F74" s="85">
        <f t="shared" si="13"/>
        <v>293.59555567275203</v>
      </c>
      <c r="G74" s="85">
        <f t="shared" si="14"/>
        <v>36993.040014766753</v>
      </c>
      <c r="H74" s="85">
        <f t="shared" si="15"/>
        <v>7993.0400147667533</v>
      </c>
      <c r="I74" s="85">
        <f t="shared" si="16"/>
        <v>295.94432011813404</v>
      </c>
      <c r="J74" s="90">
        <f t="shared" si="17"/>
        <v>369.93040014766751</v>
      </c>
    </row>
    <row r="75" spans="2:10" x14ac:dyDescent="0.3">
      <c r="B75" s="49">
        <f t="shared" si="9"/>
        <v>57</v>
      </c>
      <c r="C75" s="84">
        <f t="shared" si="10"/>
        <v>500</v>
      </c>
      <c r="D75" s="84">
        <f t="shared" si="11"/>
        <v>29500</v>
      </c>
      <c r="E75" s="84">
        <f t="shared" si="12"/>
        <v>36993.040014766753</v>
      </c>
      <c r="F75" s="84">
        <f t="shared" si="13"/>
        <v>299.94432011813404</v>
      </c>
      <c r="G75" s="84">
        <f t="shared" si="14"/>
        <v>37792.984334884888</v>
      </c>
      <c r="H75" s="84">
        <f t="shared" si="15"/>
        <v>8292.9843348848881</v>
      </c>
      <c r="I75" s="84">
        <f t="shared" si="16"/>
        <v>302.34387467907914</v>
      </c>
      <c r="J75" s="89">
        <f t="shared" si="17"/>
        <v>377.92984334884886</v>
      </c>
    </row>
    <row r="76" spans="2:10" x14ac:dyDescent="0.3">
      <c r="B76" s="50">
        <f t="shared" si="9"/>
        <v>58</v>
      </c>
      <c r="C76" s="85">
        <f t="shared" si="10"/>
        <v>500</v>
      </c>
      <c r="D76" s="85">
        <f t="shared" si="11"/>
        <v>30000</v>
      </c>
      <c r="E76" s="85">
        <f t="shared" si="12"/>
        <v>37792.984334884888</v>
      </c>
      <c r="F76" s="85">
        <f t="shared" si="13"/>
        <v>306.34387467907914</v>
      </c>
      <c r="G76" s="85">
        <f t="shared" si="14"/>
        <v>38599.328209563966</v>
      </c>
      <c r="H76" s="85">
        <f t="shared" si="15"/>
        <v>8599.3282095639661</v>
      </c>
      <c r="I76" s="85">
        <f t="shared" si="16"/>
        <v>308.79462567651171</v>
      </c>
      <c r="J76" s="90">
        <f t="shared" si="17"/>
        <v>385.99328209563964</v>
      </c>
    </row>
    <row r="77" spans="2:10" x14ac:dyDescent="0.3">
      <c r="B77" s="49">
        <f t="shared" si="9"/>
        <v>59</v>
      </c>
      <c r="C77" s="84">
        <f t="shared" si="10"/>
        <v>500</v>
      </c>
      <c r="D77" s="84">
        <f t="shared" si="11"/>
        <v>30500</v>
      </c>
      <c r="E77" s="84">
        <f t="shared" si="12"/>
        <v>38599.328209563966</v>
      </c>
      <c r="F77" s="84">
        <f t="shared" si="13"/>
        <v>312.79462567651171</v>
      </c>
      <c r="G77" s="84">
        <f t="shared" si="14"/>
        <v>39412.12283524048</v>
      </c>
      <c r="H77" s="84">
        <f t="shared" si="15"/>
        <v>8912.1228352404796</v>
      </c>
      <c r="I77" s="84">
        <f t="shared" si="16"/>
        <v>315.29698268192385</v>
      </c>
      <c r="J77" s="89">
        <f t="shared" si="17"/>
        <v>394.12122835240478</v>
      </c>
    </row>
    <row r="78" spans="2:10" x14ac:dyDescent="0.3">
      <c r="B78" s="50">
        <f t="shared" si="9"/>
        <v>60</v>
      </c>
      <c r="C78" s="85">
        <f t="shared" si="10"/>
        <v>500</v>
      </c>
      <c r="D78" s="85">
        <f t="shared" si="11"/>
        <v>31000</v>
      </c>
      <c r="E78" s="85">
        <f t="shared" si="12"/>
        <v>39412.12283524048</v>
      </c>
      <c r="F78" s="85">
        <f t="shared" si="13"/>
        <v>319.29698268192385</v>
      </c>
      <c r="G78" s="85">
        <f t="shared" si="14"/>
        <v>40231.419817922404</v>
      </c>
      <c r="H78" s="85">
        <f t="shared" si="15"/>
        <v>9231.419817922404</v>
      </c>
      <c r="I78" s="85">
        <f t="shared" si="16"/>
        <v>321.85135854337926</v>
      </c>
      <c r="J78" s="90">
        <f t="shared" si="17"/>
        <v>402.31419817922404</v>
      </c>
    </row>
    <row r="79" spans="2:10" x14ac:dyDescent="0.3">
      <c r="B79" s="49" t="str">
        <f t="shared" si="9"/>
        <v/>
      </c>
      <c r="C79" s="84" t="str">
        <f t="shared" si="10"/>
        <v/>
      </c>
      <c r="D79" s="84" t="str">
        <f t="shared" si="11"/>
        <v/>
      </c>
      <c r="E79" s="84" t="str">
        <f t="shared" si="12"/>
        <v/>
      </c>
      <c r="F79" s="84" t="str">
        <f t="shared" si="13"/>
        <v/>
      </c>
      <c r="G79" s="84" t="str">
        <f t="shared" si="14"/>
        <v/>
      </c>
      <c r="H79" s="84" t="str">
        <f t="shared" si="15"/>
        <v/>
      </c>
      <c r="I79" s="84" t="str">
        <f t="shared" si="16"/>
        <v/>
      </c>
      <c r="J79" s="89" t="str">
        <f t="shared" si="17"/>
        <v/>
      </c>
    </row>
    <row r="80" spans="2:10" x14ac:dyDescent="0.3">
      <c r="B80" s="50" t="str">
        <f t="shared" si="9"/>
        <v/>
      </c>
      <c r="C80" s="85" t="str">
        <f t="shared" si="10"/>
        <v/>
      </c>
      <c r="D80" s="85" t="str">
        <f t="shared" si="11"/>
        <v/>
      </c>
      <c r="E80" s="85" t="str">
        <f t="shared" si="12"/>
        <v/>
      </c>
      <c r="F80" s="85" t="str">
        <f t="shared" si="13"/>
        <v/>
      </c>
      <c r="G80" s="85" t="str">
        <f t="shared" si="14"/>
        <v/>
      </c>
      <c r="H80" s="85" t="str">
        <f t="shared" si="15"/>
        <v/>
      </c>
      <c r="I80" s="85" t="str">
        <f t="shared" si="16"/>
        <v/>
      </c>
      <c r="J80" s="90" t="str">
        <f t="shared" si="17"/>
        <v/>
      </c>
    </row>
    <row r="81" spans="2:10" x14ac:dyDescent="0.3">
      <c r="B81" s="49" t="str">
        <f t="shared" si="9"/>
        <v/>
      </c>
      <c r="C81" s="84" t="str">
        <f t="shared" si="10"/>
        <v/>
      </c>
      <c r="D81" s="84" t="str">
        <f t="shared" si="11"/>
        <v/>
      </c>
      <c r="E81" s="84" t="str">
        <f t="shared" si="12"/>
        <v/>
      </c>
      <c r="F81" s="84" t="str">
        <f t="shared" si="13"/>
        <v/>
      </c>
      <c r="G81" s="84" t="str">
        <f t="shared" si="14"/>
        <v/>
      </c>
      <c r="H81" s="84" t="str">
        <f t="shared" si="15"/>
        <v/>
      </c>
      <c r="I81" s="84" t="str">
        <f t="shared" si="16"/>
        <v/>
      </c>
      <c r="J81" s="89" t="str">
        <f t="shared" si="17"/>
        <v/>
      </c>
    </row>
    <row r="82" spans="2:10" x14ac:dyDescent="0.3">
      <c r="B82" s="50" t="str">
        <f t="shared" si="9"/>
        <v/>
      </c>
      <c r="C82" s="85" t="str">
        <f t="shared" si="10"/>
        <v/>
      </c>
      <c r="D82" s="85" t="str">
        <f t="shared" si="11"/>
        <v/>
      </c>
      <c r="E82" s="85" t="str">
        <f t="shared" si="12"/>
        <v/>
      </c>
      <c r="F82" s="85" t="str">
        <f t="shared" si="13"/>
        <v/>
      </c>
      <c r="G82" s="85" t="str">
        <f t="shared" si="14"/>
        <v/>
      </c>
      <c r="H82" s="85" t="str">
        <f t="shared" si="15"/>
        <v/>
      </c>
      <c r="I82" s="85" t="str">
        <f t="shared" si="16"/>
        <v/>
      </c>
      <c r="J82" s="90" t="str">
        <f t="shared" si="17"/>
        <v/>
      </c>
    </row>
    <row r="83" spans="2:10" x14ac:dyDescent="0.3">
      <c r="B83" s="49" t="str">
        <f t="shared" ref="B83:B114" si="18">IF(ROW()-18&lt;=$C$8,ROW()-18,"")</f>
        <v/>
      </c>
      <c r="C83" s="84" t="str">
        <f t="shared" ref="C83:C114" si="19">IF(B83="","",$C$7)</f>
        <v/>
      </c>
      <c r="D83" s="84" t="str">
        <f t="shared" ref="D83:D114" si="20">IF(B83="","",$C$6+C83*B83)</f>
        <v/>
      </c>
      <c r="E83" s="84" t="str">
        <f t="shared" ref="E83:E114" si="21">IF(B83="","",IF(B83=1,$C$6,E82*0+G82))</f>
        <v/>
      </c>
      <c r="F83" s="84" t="str">
        <f t="shared" ref="F83:F114" si="22">IF(B83="","",IFERROR((E83+C83)*$C$9,0))</f>
        <v/>
      </c>
      <c r="G83" s="84" t="str">
        <f t="shared" ref="G83:G114" si="23">IF(B83="","",E83+C83+F83)</f>
        <v/>
      </c>
      <c r="H83" s="84" t="str">
        <f t="shared" ref="H83:H114" si="24">IF(B83="","",G83-D83)</f>
        <v/>
      </c>
      <c r="I83" s="84" t="str">
        <f t="shared" ref="I83:I114" si="25">IF(B83="","",IFERROR(G83*$C$11,0))</f>
        <v/>
      </c>
      <c r="J83" s="89" t="str">
        <f t="shared" ref="J83:J114" si="26">IF(B83="","",IFERROR(G83/$C$10,0))</f>
        <v/>
      </c>
    </row>
    <row r="84" spans="2:10" x14ac:dyDescent="0.3">
      <c r="B84" s="50" t="str">
        <f t="shared" si="18"/>
        <v/>
      </c>
      <c r="C84" s="85" t="str">
        <f t="shared" si="19"/>
        <v/>
      </c>
      <c r="D84" s="85" t="str">
        <f t="shared" si="20"/>
        <v/>
      </c>
      <c r="E84" s="85" t="str">
        <f t="shared" si="21"/>
        <v/>
      </c>
      <c r="F84" s="85" t="str">
        <f t="shared" si="22"/>
        <v/>
      </c>
      <c r="G84" s="85" t="str">
        <f t="shared" si="23"/>
        <v/>
      </c>
      <c r="H84" s="85" t="str">
        <f t="shared" si="24"/>
        <v/>
      </c>
      <c r="I84" s="85" t="str">
        <f t="shared" si="25"/>
        <v/>
      </c>
      <c r="J84" s="90" t="str">
        <f t="shared" si="26"/>
        <v/>
      </c>
    </row>
    <row r="85" spans="2:10" x14ac:dyDescent="0.3">
      <c r="B85" s="49" t="str">
        <f t="shared" si="18"/>
        <v/>
      </c>
      <c r="C85" s="84" t="str">
        <f t="shared" si="19"/>
        <v/>
      </c>
      <c r="D85" s="84" t="str">
        <f t="shared" si="20"/>
        <v/>
      </c>
      <c r="E85" s="84" t="str">
        <f t="shared" si="21"/>
        <v/>
      </c>
      <c r="F85" s="84" t="str">
        <f t="shared" si="22"/>
        <v/>
      </c>
      <c r="G85" s="84" t="str">
        <f t="shared" si="23"/>
        <v/>
      </c>
      <c r="H85" s="84" t="str">
        <f t="shared" si="24"/>
        <v/>
      </c>
      <c r="I85" s="84" t="str">
        <f t="shared" si="25"/>
        <v/>
      </c>
      <c r="J85" s="89" t="str">
        <f t="shared" si="26"/>
        <v/>
      </c>
    </row>
    <row r="86" spans="2:10" x14ac:dyDescent="0.3">
      <c r="B86" s="50" t="str">
        <f t="shared" si="18"/>
        <v/>
      </c>
      <c r="C86" s="85" t="str">
        <f t="shared" si="19"/>
        <v/>
      </c>
      <c r="D86" s="85" t="str">
        <f t="shared" si="20"/>
        <v/>
      </c>
      <c r="E86" s="85" t="str">
        <f t="shared" si="21"/>
        <v/>
      </c>
      <c r="F86" s="85" t="str">
        <f t="shared" si="22"/>
        <v/>
      </c>
      <c r="G86" s="85" t="str">
        <f t="shared" si="23"/>
        <v/>
      </c>
      <c r="H86" s="85" t="str">
        <f t="shared" si="24"/>
        <v/>
      </c>
      <c r="I86" s="85" t="str">
        <f t="shared" si="25"/>
        <v/>
      </c>
      <c r="J86" s="90" t="str">
        <f t="shared" si="26"/>
        <v/>
      </c>
    </row>
    <row r="87" spans="2:10" x14ac:dyDescent="0.3">
      <c r="B87" s="49" t="str">
        <f t="shared" si="18"/>
        <v/>
      </c>
      <c r="C87" s="84" t="str">
        <f t="shared" si="19"/>
        <v/>
      </c>
      <c r="D87" s="84" t="str">
        <f t="shared" si="20"/>
        <v/>
      </c>
      <c r="E87" s="84" t="str">
        <f t="shared" si="21"/>
        <v/>
      </c>
      <c r="F87" s="84" t="str">
        <f t="shared" si="22"/>
        <v/>
      </c>
      <c r="G87" s="84" t="str">
        <f t="shared" si="23"/>
        <v/>
      </c>
      <c r="H87" s="84" t="str">
        <f t="shared" si="24"/>
        <v/>
      </c>
      <c r="I87" s="84" t="str">
        <f t="shared" si="25"/>
        <v/>
      </c>
      <c r="J87" s="89" t="str">
        <f t="shared" si="26"/>
        <v/>
      </c>
    </row>
    <row r="88" spans="2:10" x14ac:dyDescent="0.3">
      <c r="B88" s="50" t="str">
        <f t="shared" si="18"/>
        <v/>
      </c>
      <c r="C88" s="85" t="str">
        <f t="shared" si="19"/>
        <v/>
      </c>
      <c r="D88" s="85" t="str">
        <f t="shared" si="20"/>
        <v/>
      </c>
      <c r="E88" s="85" t="str">
        <f t="shared" si="21"/>
        <v/>
      </c>
      <c r="F88" s="85" t="str">
        <f t="shared" si="22"/>
        <v/>
      </c>
      <c r="G88" s="85" t="str">
        <f t="shared" si="23"/>
        <v/>
      </c>
      <c r="H88" s="85" t="str">
        <f t="shared" si="24"/>
        <v/>
      </c>
      <c r="I88" s="85" t="str">
        <f t="shared" si="25"/>
        <v/>
      </c>
      <c r="J88" s="90" t="str">
        <f t="shared" si="26"/>
        <v/>
      </c>
    </row>
    <row r="89" spans="2:10" x14ac:dyDescent="0.3">
      <c r="B89" s="49" t="str">
        <f t="shared" si="18"/>
        <v/>
      </c>
      <c r="C89" s="84" t="str">
        <f t="shared" si="19"/>
        <v/>
      </c>
      <c r="D89" s="84" t="str">
        <f t="shared" si="20"/>
        <v/>
      </c>
      <c r="E89" s="84" t="str">
        <f t="shared" si="21"/>
        <v/>
      </c>
      <c r="F89" s="84" t="str">
        <f t="shared" si="22"/>
        <v/>
      </c>
      <c r="G89" s="84" t="str">
        <f t="shared" si="23"/>
        <v/>
      </c>
      <c r="H89" s="84" t="str">
        <f t="shared" si="24"/>
        <v/>
      </c>
      <c r="I89" s="84" t="str">
        <f t="shared" si="25"/>
        <v/>
      </c>
      <c r="J89" s="89" t="str">
        <f t="shared" si="26"/>
        <v/>
      </c>
    </row>
    <row r="90" spans="2:10" x14ac:dyDescent="0.3">
      <c r="B90" s="50" t="str">
        <f t="shared" si="18"/>
        <v/>
      </c>
      <c r="C90" s="85" t="str">
        <f t="shared" si="19"/>
        <v/>
      </c>
      <c r="D90" s="85" t="str">
        <f t="shared" si="20"/>
        <v/>
      </c>
      <c r="E90" s="85" t="str">
        <f t="shared" si="21"/>
        <v/>
      </c>
      <c r="F90" s="85" t="str">
        <f t="shared" si="22"/>
        <v/>
      </c>
      <c r="G90" s="85" t="str">
        <f t="shared" si="23"/>
        <v/>
      </c>
      <c r="H90" s="85" t="str">
        <f t="shared" si="24"/>
        <v/>
      </c>
      <c r="I90" s="85" t="str">
        <f t="shared" si="25"/>
        <v/>
      </c>
      <c r="J90" s="90" t="str">
        <f t="shared" si="26"/>
        <v/>
      </c>
    </row>
    <row r="91" spans="2:10" x14ac:dyDescent="0.3">
      <c r="B91" s="49" t="str">
        <f t="shared" si="18"/>
        <v/>
      </c>
      <c r="C91" s="84" t="str">
        <f t="shared" si="19"/>
        <v/>
      </c>
      <c r="D91" s="84" t="str">
        <f t="shared" si="20"/>
        <v/>
      </c>
      <c r="E91" s="84" t="str">
        <f t="shared" si="21"/>
        <v/>
      </c>
      <c r="F91" s="84" t="str">
        <f t="shared" si="22"/>
        <v/>
      </c>
      <c r="G91" s="84" t="str">
        <f t="shared" si="23"/>
        <v/>
      </c>
      <c r="H91" s="84" t="str">
        <f t="shared" si="24"/>
        <v/>
      </c>
      <c r="I91" s="84" t="str">
        <f t="shared" si="25"/>
        <v/>
      </c>
      <c r="J91" s="89" t="str">
        <f t="shared" si="26"/>
        <v/>
      </c>
    </row>
    <row r="92" spans="2:10" x14ac:dyDescent="0.3">
      <c r="B92" s="50" t="str">
        <f t="shared" si="18"/>
        <v/>
      </c>
      <c r="C92" s="85" t="str">
        <f t="shared" si="19"/>
        <v/>
      </c>
      <c r="D92" s="85" t="str">
        <f t="shared" si="20"/>
        <v/>
      </c>
      <c r="E92" s="85" t="str">
        <f t="shared" si="21"/>
        <v/>
      </c>
      <c r="F92" s="85" t="str">
        <f t="shared" si="22"/>
        <v/>
      </c>
      <c r="G92" s="85" t="str">
        <f t="shared" si="23"/>
        <v/>
      </c>
      <c r="H92" s="85" t="str">
        <f t="shared" si="24"/>
        <v/>
      </c>
      <c r="I92" s="85" t="str">
        <f t="shared" si="25"/>
        <v/>
      </c>
      <c r="J92" s="90" t="str">
        <f t="shared" si="26"/>
        <v/>
      </c>
    </row>
    <row r="93" spans="2:10" x14ac:dyDescent="0.3">
      <c r="B93" s="49" t="str">
        <f t="shared" si="18"/>
        <v/>
      </c>
      <c r="C93" s="84" t="str">
        <f t="shared" si="19"/>
        <v/>
      </c>
      <c r="D93" s="84" t="str">
        <f t="shared" si="20"/>
        <v/>
      </c>
      <c r="E93" s="84" t="str">
        <f t="shared" si="21"/>
        <v/>
      </c>
      <c r="F93" s="84" t="str">
        <f t="shared" si="22"/>
        <v/>
      </c>
      <c r="G93" s="84" t="str">
        <f t="shared" si="23"/>
        <v/>
      </c>
      <c r="H93" s="84" t="str">
        <f t="shared" si="24"/>
        <v/>
      </c>
      <c r="I93" s="84" t="str">
        <f t="shared" si="25"/>
        <v/>
      </c>
      <c r="J93" s="89" t="str">
        <f t="shared" si="26"/>
        <v/>
      </c>
    </row>
    <row r="94" spans="2:10" x14ac:dyDescent="0.3">
      <c r="B94" s="50" t="str">
        <f t="shared" si="18"/>
        <v/>
      </c>
      <c r="C94" s="85" t="str">
        <f t="shared" si="19"/>
        <v/>
      </c>
      <c r="D94" s="85" t="str">
        <f t="shared" si="20"/>
        <v/>
      </c>
      <c r="E94" s="85" t="str">
        <f t="shared" si="21"/>
        <v/>
      </c>
      <c r="F94" s="85" t="str">
        <f t="shared" si="22"/>
        <v/>
      </c>
      <c r="G94" s="85" t="str">
        <f t="shared" si="23"/>
        <v/>
      </c>
      <c r="H94" s="85" t="str">
        <f t="shared" si="24"/>
        <v/>
      </c>
      <c r="I94" s="85" t="str">
        <f t="shared" si="25"/>
        <v/>
      </c>
      <c r="J94" s="90" t="str">
        <f t="shared" si="26"/>
        <v/>
      </c>
    </row>
    <row r="95" spans="2:10" x14ac:dyDescent="0.3">
      <c r="B95" s="49" t="str">
        <f t="shared" si="18"/>
        <v/>
      </c>
      <c r="C95" s="84" t="str">
        <f t="shared" si="19"/>
        <v/>
      </c>
      <c r="D95" s="84" t="str">
        <f t="shared" si="20"/>
        <v/>
      </c>
      <c r="E95" s="84" t="str">
        <f t="shared" si="21"/>
        <v/>
      </c>
      <c r="F95" s="84" t="str">
        <f t="shared" si="22"/>
        <v/>
      </c>
      <c r="G95" s="84" t="str">
        <f t="shared" si="23"/>
        <v/>
      </c>
      <c r="H95" s="84" t="str">
        <f t="shared" si="24"/>
        <v/>
      </c>
      <c r="I95" s="84" t="str">
        <f t="shared" si="25"/>
        <v/>
      </c>
      <c r="J95" s="89" t="str">
        <f t="shared" si="26"/>
        <v/>
      </c>
    </row>
    <row r="96" spans="2:10" x14ac:dyDescent="0.3">
      <c r="B96" s="50" t="str">
        <f t="shared" si="18"/>
        <v/>
      </c>
      <c r="C96" s="85" t="str">
        <f t="shared" si="19"/>
        <v/>
      </c>
      <c r="D96" s="85" t="str">
        <f t="shared" si="20"/>
        <v/>
      </c>
      <c r="E96" s="85" t="str">
        <f t="shared" si="21"/>
        <v/>
      </c>
      <c r="F96" s="85" t="str">
        <f t="shared" si="22"/>
        <v/>
      </c>
      <c r="G96" s="85" t="str">
        <f t="shared" si="23"/>
        <v/>
      </c>
      <c r="H96" s="85" t="str">
        <f t="shared" si="24"/>
        <v/>
      </c>
      <c r="I96" s="85" t="str">
        <f t="shared" si="25"/>
        <v/>
      </c>
      <c r="J96" s="90" t="str">
        <f t="shared" si="26"/>
        <v/>
      </c>
    </row>
    <row r="97" spans="2:10" x14ac:dyDescent="0.3">
      <c r="B97" s="49" t="str">
        <f t="shared" si="18"/>
        <v/>
      </c>
      <c r="C97" s="84" t="str">
        <f t="shared" si="19"/>
        <v/>
      </c>
      <c r="D97" s="84" t="str">
        <f t="shared" si="20"/>
        <v/>
      </c>
      <c r="E97" s="84" t="str">
        <f t="shared" si="21"/>
        <v/>
      </c>
      <c r="F97" s="84" t="str">
        <f t="shared" si="22"/>
        <v/>
      </c>
      <c r="G97" s="84" t="str">
        <f t="shared" si="23"/>
        <v/>
      </c>
      <c r="H97" s="84" t="str">
        <f t="shared" si="24"/>
        <v/>
      </c>
      <c r="I97" s="84" t="str">
        <f t="shared" si="25"/>
        <v/>
      </c>
      <c r="J97" s="89" t="str">
        <f t="shared" si="26"/>
        <v/>
      </c>
    </row>
    <row r="98" spans="2:10" x14ac:dyDescent="0.3">
      <c r="B98" s="50" t="str">
        <f t="shared" si="18"/>
        <v/>
      </c>
      <c r="C98" s="85" t="str">
        <f t="shared" si="19"/>
        <v/>
      </c>
      <c r="D98" s="85" t="str">
        <f t="shared" si="20"/>
        <v/>
      </c>
      <c r="E98" s="85" t="str">
        <f t="shared" si="21"/>
        <v/>
      </c>
      <c r="F98" s="85" t="str">
        <f t="shared" si="22"/>
        <v/>
      </c>
      <c r="G98" s="85" t="str">
        <f t="shared" si="23"/>
        <v/>
      </c>
      <c r="H98" s="85" t="str">
        <f t="shared" si="24"/>
        <v/>
      </c>
      <c r="I98" s="85" t="str">
        <f t="shared" si="25"/>
        <v/>
      </c>
      <c r="J98" s="90" t="str">
        <f t="shared" si="26"/>
        <v/>
      </c>
    </row>
    <row r="99" spans="2:10" x14ac:dyDescent="0.3">
      <c r="B99" s="49" t="str">
        <f t="shared" si="18"/>
        <v/>
      </c>
      <c r="C99" s="84" t="str">
        <f t="shared" si="19"/>
        <v/>
      </c>
      <c r="D99" s="84" t="str">
        <f t="shared" si="20"/>
        <v/>
      </c>
      <c r="E99" s="84" t="str">
        <f t="shared" si="21"/>
        <v/>
      </c>
      <c r="F99" s="84" t="str">
        <f t="shared" si="22"/>
        <v/>
      </c>
      <c r="G99" s="84" t="str">
        <f t="shared" si="23"/>
        <v/>
      </c>
      <c r="H99" s="84" t="str">
        <f t="shared" si="24"/>
        <v/>
      </c>
      <c r="I99" s="84" t="str">
        <f t="shared" si="25"/>
        <v/>
      </c>
      <c r="J99" s="89" t="str">
        <f t="shared" si="26"/>
        <v/>
      </c>
    </row>
    <row r="100" spans="2:10" x14ac:dyDescent="0.3">
      <c r="B100" s="50" t="str">
        <f t="shared" si="18"/>
        <v/>
      </c>
      <c r="C100" s="85" t="str">
        <f t="shared" si="19"/>
        <v/>
      </c>
      <c r="D100" s="85" t="str">
        <f t="shared" si="20"/>
        <v/>
      </c>
      <c r="E100" s="85" t="str">
        <f t="shared" si="21"/>
        <v/>
      </c>
      <c r="F100" s="85" t="str">
        <f t="shared" si="22"/>
        <v/>
      </c>
      <c r="G100" s="85" t="str">
        <f t="shared" si="23"/>
        <v/>
      </c>
      <c r="H100" s="85" t="str">
        <f t="shared" si="24"/>
        <v/>
      </c>
      <c r="I100" s="85" t="str">
        <f t="shared" si="25"/>
        <v/>
      </c>
      <c r="J100" s="90" t="str">
        <f t="shared" si="26"/>
        <v/>
      </c>
    </row>
    <row r="101" spans="2:10" x14ac:dyDescent="0.3">
      <c r="B101" s="49" t="str">
        <f t="shared" si="18"/>
        <v/>
      </c>
      <c r="C101" s="84" t="str">
        <f t="shared" si="19"/>
        <v/>
      </c>
      <c r="D101" s="84" t="str">
        <f t="shared" si="20"/>
        <v/>
      </c>
      <c r="E101" s="84" t="str">
        <f t="shared" si="21"/>
        <v/>
      </c>
      <c r="F101" s="84" t="str">
        <f t="shared" si="22"/>
        <v/>
      </c>
      <c r="G101" s="84" t="str">
        <f t="shared" si="23"/>
        <v/>
      </c>
      <c r="H101" s="84" t="str">
        <f t="shared" si="24"/>
        <v/>
      </c>
      <c r="I101" s="84" t="str">
        <f t="shared" si="25"/>
        <v/>
      </c>
      <c r="J101" s="89" t="str">
        <f t="shared" si="26"/>
        <v/>
      </c>
    </row>
    <row r="102" spans="2:10" x14ac:dyDescent="0.3">
      <c r="B102" s="50" t="str">
        <f t="shared" si="18"/>
        <v/>
      </c>
      <c r="C102" s="85" t="str">
        <f t="shared" si="19"/>
        <v/>
      </c>
      <c r="D102" s="85" t="str">
        <f t="shared" si="20"/>
        <v/>
      </c>
      <c r="E102" s="85" t="str">
        <f t="shared" si="21"/>
        <v/>
      </c>
      <c r="F102" s="85" t="str">
        <f t="shared" si="22"/>
        <v/>
      </c>
      <c r="G102" s="85" t="str">
        <f t="shared" si="23"/>
        <v/>
      </c>
      <c r="H102" s="85" t="str">
        <f t="shared" si="24"/>
        <v/>
      </c>
      <c r="I102" s="85" t="str">
        <f t="shared" si="25"/>
        <v/>
      </c>
      <c r="J102" s="90" t="str">
        <f t="shared" si="26"/>
        <v/>
      </c>
    </row>
    <row r="103" spans="2:10" x14ac:dyDescent="0.3">
      <c r="B103" s="49" t="str">
        <f t="shared" si="18"/>
        <v/>
      </c>
      <c r="C103" s="84" t="str">
        <f t="shared" si="19"/>
        <v/>
      </c>
      <c r="D103" s="84" t="str">
        <f t="shared" si="20"/>
        <v/>
      </c>
      <c r="E103" s="84" t="str">
        <f t="shared" si="21"/>
        <v/>
      </c>
      <c r="F103" s="84" t="str">
        <f t="shared" si="22"/>
        <v/>
      </c>
      <c r="G103" s="84" t="str">
        <f t="shared" si="23"/>
        <v/>
      </c>
      <c r="H103" s="84" t="str">
        <f t="shared" si="24"/>
        <v/>
      </c>
      <c r="I103" s="84" t="str">
        <f t="shared" si="25"/>
        <v/>
      </c>
      <c r="J103" s="89" t="str">
        <f t="shared" si="26"/>
        <v/>
      </c>
    </row>
    <row r="104" spans="2:10" x14ac:dyDescent="0.3">
      <c r="B104" s="50" t="str">
        <f t="shared" si="18"/>
        <v/>
      </c>
      <c r="C104" s="85" t="str">
        <f t="shared" si="19"/>
        <v/>
      </c>
      <c r="D104" s="85" t="str">
        <f t="shared" si="20"/>
        <v/>
      </c>
      <c r="E104" s="85" t="str">
        <f t="shared" si="21"/>
        <v/>
      </c>
      <c r="F104" s="85" t="str">
        <f t="shared" si="22"/>
        <v/>
      </c>
      <c r="G104" s="85" t="str">
        <f t="shared" si="23"/>
        <v/>
      </c>
      <c r="H104" s="85" t="str">
        <f t="shared" si="24"/>
        <v/>
      </c>
      <c r="I104" s="85" t="str">
        <f t="shared" si="25"/>
        <v/>
      </c>
      <c r="J104" s="90" t="str">
        <f t="shared" si="26"/>
        <v/>
      </c>
    </row>
    <row r="105" spans="2:10" x14ac:dyDescent="0.3">
      <c r="B105" s="49" t="str">
        <f t="shared" si="18"/>
        <v/>
      </c>
      <c r="C105" s="84" t="str">
        <f t="shared" si="19"/>
        <v/>
      </c>
      <c r="D105" s="84" t="str">
        <f t="shared" si="20"/>
        <v/>
      </c>
      <c r="E105" s="84" t="str">
        <f t="shared" si="21"/>
        <v/>
      </c>
      <c r="F105" s="84" t="str">
        <f t="shared" si="22"/>
        <v/>
      </c>
      <c r="G105" s="84" t="str">
        <f t="shared" si="23"/>
        <v/>
      </c>
      <c r="H105" s="84" t="str">
        <f t="shared" si="24"/>
        <v/>
      </c>
      <c r="I105" s="84" t="str">
        <f t="shared" si="25"/>
        <v/>
      </c>
      <c r="J105" s="89" t="str">
        <f t="shared" si="26"/>
        <v/>
      </c>
    </row>
    <row r="106" spans="2:10" x14ac:dyDescent="0.3">
      <c r="B106" s="50" t="str">
        <f t="shared" si="18"/>
        <v/>
      </c>
      <c r="C106" s="85" t="str">
        <f t="shared" si="19"/>
        <v/>
      </c>
      <c r="D106" s="85" t="str">
        <f t="shared" si="20"/>
        <v/>
      </c>
      <c r="E106" s="85" t="str">
        <f t="shared" si="21"/>
        <v/>
      </c>
      <c r="F106" s="85" t="str">
        <f t="shared" si="22"/>
        <v/>
      </c>
      <c r="G106" s="85" t="str">
        <f t="shared" si="23"/>
        <v/>
      </c>
      <c r="H106" s="85" t="str">
        <f t="shared" si="24"/>
        <v/>
      </c>
      <c r="I106" s="85" t="str">
        <f t="shared" si="25"/>
        <v/>
      </c>
      <c r="J106" s="90" t="str">
        <f t="shared" si="26"/>
        <v/>
      </c>
    </row>
    <row r="107" spans="2:10" x14ac:dyDescent="0.3">
      <c r="B107" s="49" t="str">
        <f t="shared" si="18"/>
        <v/>
      </c>
      <c r="C107" s="84" t="str">
        <f t="shared" si="19"/>
        <v/>
      </c>
      <c r="D107" s="84" t="str">
        <f t="shared" si="20"/>
        <v/>
      </c>
      <c r="E107" s="84" t="str">
        <f t="shared" si="21"/>
        <v/>
      </c>
      <c r="F107" s="84" t="str">
        <f t="shared" si="22"/>
        <v/>
      </c>
      <c r="G107" s="84" t="str">
        <f t="shared" si="23"/>
        <v/>
      </c>
      <c r="H107" s="84" t="str">
        <f t="shared" si="24"/>
        <v/>
      </c>
      <c r="I107" s="84" t="str">
        <f t="shared" si="25"/>
        <v/>
      </c>
      <c r="J107" s="89" t="str">
        <f t="shared" si="26"/>
        <v/>
      </c>
    </row>
    <row r="108" spans="2:10" x14ac:dyDescent="0.3">
      <c r="B108" s="50" t="str">
        <f t="shared" si="18"/>
        <v/>
      </c>
      <c r="C108" s="85" t="str">
        <f t="shared" si="19"/>
        <v/>
      </c>
      <c r="D108" s="85" t="str">
        <f t="shared" si="20"/>
        <v/>
      </c>
      <c r="E108" s="85" t="str">
        <f t="shared" si="21"/>
        <v/>
      </c>
      <c r="F108" s="85" t="str">
        <f t="shared" si="22"/>
        <v/>
      </c>
      <c r="G108" s="85" t="str">
        <f t="shared" si="23"/>
        <v/>
      </c>
      <c r="H108" s="85" t="str">
        <f t="shared" si="24"/>
        <v/>
      </c>
      <c r="I108" s="85" t="str">
        <f t="shared" si="25"/>
        <v/>
      </c>
      <c r="J108" s="90" t="str">
        <f t="shared" si="26"/>
        <v/>
      </c>
    </row>
    <row r="109" spans="2:10" x14ac:dyDescent="0.3">
      <c r="B109" s="49" t="str">
        <f t="shared" si="18"/>
        <v/>
      </c>
      <c r="C109" s="84" t="str">
        <f t="shared" si="19"/>
        <v/>
      </c>
      <c r="D109" s="84" t="str">
        <f t="shared" si="20"/>
        <v/>
      </c>
      <c r="E109" s="84" t="str">
        <f t="shared" si="21"/>
        <v/>
      </c>
      <c r="F109" s="84" t="str">
        <f t="shared" si="22"/>
        <v/>
      </c>
      <c r="G109" s="84" t="str">
        <f t="shared" si="23"/>
        <v/>
      </c>
      <c r="H109" s="84" t="str">
        <f t="shared" si="24"/>
        <v/>
      </c>
      <c r="I109" s="84" t="str">
        <f t="shared" si="25"/>
        <v/>
      </c>
      <c r="J109" s="89" t="str">
        <f t="shared" si="26"/>
        <v/>
      </c>
    </row>
    <row r="110" spans="2:10" x14ac:dyDescent="0.3">
      <c r="B110" s="50" t="str">
        <f t="shared" si="18"/>
        <v/>
      </c>
      <c r="C110" s="85" t="str">
        <f t="shared" si="19"/>
        <v/>
      </c>
      <c r="D110" s="85" t="str">
        <f t="shared" si="20"/>
        <v/>
      </c>
      <c r="E110" s="85" t="str">
        <f t="shared" si="21"/>
        <v/>
      </c>
      <c r="F110" s="85" t="str">
        <f t="shared" si="22"/>
        <v/>
      </c>
      <c r="G110" s="85" t="str">
        <f t="shared" si="23"/>
        <v/>
      </c>
      <c r="H110" s="85" t="str">
        <f t="shared" si="24"/>
        <v/>
      </c>
      <c r="I110" s="85" t="str">
        <f t="shared" si="25"/>
        <v/>
      </c>
      <c r="J110" s="90" t="str">
        <f t="shared" si="26"/>
        <v/>
      </c>
    </row>
    <row r="111" spans="2:10" x14ac:dyDescent="0.3">
      <c r="B111" s="49" t="str">
        <f t="shared" si="18"/>
        <v/>
      </c>
      <c r="C111" s="84" t="str">
        <f t="shared" si="19"/>
        <v/>
      </c>
      <c r="D111" s="84" t="str">
        <f t="shared" si="20"/>
        <v/>
      </c>
      <c r="E111" s="84" t="str">
        <f t="shared" si="21"/>
        <v/>
      </c>
      <c r="F111" s="84" t="str">
        <f t="shared" si="22"/>
        <v/>
      </c>
      <c r="G111" s="84" t="str">
        <f t="shared" si="23"/>
        <v/>
      </c>
      <c r="H111" s="84" t="str">
        <f t="shared" si="24"/>
        <v/>
      </c>
      <c r="I111" s="84" t="str">
        <f t="shared" si="25"/>
        <v/>
      </c>
      <c r="J111" s="89" t="str">
        <f t="shared" si="26"/>
        <v/>
      </c>
    </row>
    <row r="112" spans="2:10" x14ac:dyDescent="0.3">
      <c r="B112" s="50" t="str">
        <f t="shared" si="18"/>
        <v/>
      </c>
      <c r="C112" s="85" t="str">
        <f t="shared" si="19"/>
        <v/>
      </c>
      <c r="D112" s="85" t="str">
        <f t="shared" si="20"/>
        <v/>
      </c>
      <c r="E112" s="85" t="str">
        <f t="shared" si="21"/>
        <v/>
      </c>
      <c r="F112" s="85" t="str">
        <f t="shared" si="22"/>
        <v/>
      </c>
      <c r="G112" s="85" t="str">
        <f t="shared" si="23"/>
        <v/>
      </c>
      <c r="H112" s="85" t="str">
        <f t="shared" si="24"/>
        <v/>
      </c>
      <c r="I112" s="85" t="str">
        <f t="shared" si="25"/>
        <v/>
      </c>
      <c r="J112" s="90" t="str">
        <f t="shared" si="26"/>
        <v/>
      </c>
    </row>
    <row r="113" spans="2:10" x14ac:dyDescent="0.3">
      <c r="B113" s="49" t="str">
        <f t="shared" si="18"/>
        <v/>
      </c>
      <c r="C113" s="84" t="str">
        <f t="shared" si="19"/>
        <v/>
      </c>
      <c r="D113" s="84" t="str">
        <f t="shared" si="20"/>
        <v/>
      </c>
      <c r="E113" s="84" t="str">
        <f t="shared" si="21"/>
        <v/>
      </c>
      <c r="F113" s="84" t="str">
        <f t="shared" si="22"/>
        <v/>
      </c>
      <c r="G113" s="84" t="str">
        <f t="shared" si="23"/>
        <v/>
      </c>
      <c r="H113" s="84" t="str">
        <f t="shared" si="24"/>
        <v/>
      </c>
      <c r="I113" s="84" t="str">
        <f t="shared" si="25"/>
        <v/>
      </c>
      <c r="J113" s="89" t="str">
        <f t="shared" si="26"/>
        <v/>
      </c>
    </row>
    <row r="114" spans="2:10" x14ac:dyDescent="0.3">
      <c r="B114" s="50" t="str">
        <f t="shared" si="18"/>
        <v/>
      </c>
      <c r="C114" s="85" t="str">
        <f t="shared" si="19"/>
        <v/>
      </c>
      <c r="D114" s="85" t="str">
        <f t="shared" si="20"/>
        <v/>
      </c>
      <c r="E114" s="85" t="str">
        <f t="shared" si="21"/>
        <v/>
      </c>
      <c r="F114" s="85" t="str">
        <f t="shared" si="22"/>
        <v/>
      </c>
      <c r="G114" s="85" t="str">
        <f t="shared" si="23"/>
        <v/>
      </c>
      <c r="H114" s="85" t="str">
        <f t="shared" si="24"/>
        <v/>
      </c>
      <c r="I114" s="85" t="str">
        <f t="shared" si="25"/>
        <v/>
      </c>
      <c r="J114" s="90" t="str">
        <f t="shared" si="26"/>
        <v/>
      </c>
    </row>
    <row r="115" spans="2:10" x14ac:dyDescent="0.3">
      <c r="B115" s="49" t="str">
        <f t="shared" ref="B115:B138" si="27">IF(ROW()-18&lt;=$C$8,ROW()-18,"")</f>
        <v/>
      </c>
      <c r="C115" s="84" t="str">
        <f t="shared" ref="C115:C146" si="28">IF(B115="","",$C$7)</f>
        <v/>
      </c>
      <c r="D115" s="84" t="str">
        <f t="shared" ref="D115:D146" si="29">IF(B115="","",$C$6+C115*B115)</f>
        <v/>
      </c>
      <c r="E115" s="84" t="str">
        <f t="shared" ref="E115:E138" si="30">IF(B115="","",IF(B115=1,$C$6,E114*0+G114))</f>
        <v/>
      </c>
      <c r="F115" s="84" t="str">
        <f t="shared" ref="F115:F146" si="31">IF(B115="","",IFERROR((E115+C115)*$C$9,0))</f>
        <v/>
      </c>
      <c r="G115" s="84" t="str">
        <f t="shared" ref="G115:G146" si="32">IF(B115="","",E115+C115+F115)</f>
        <v/>
      </c>
      <c r="H115" s="84" t="str">
        <f t="shared" ref="H115:H146" si="33">IF(B115="","",G115-D115)</f>
        <v/>
      </c>
      <c r="I115" s="84" t="str">
        <f t="shared" ref="I115:I138" si="34">IF(B115="","",IFERROR(G115*$C$11,0))</f>
        <v/>
      </c>
      <c r="J115" s="89" t="str">
        <f t="shared" ref="J115:J138" si="35">IF(B115="","",IFERROR(G115/$C$10,0))</f>
        <v/>
      </c>
    </row>
    <row r="116" spans="2:10" x14ac:dyDescent="0.3">
      <c r="B116" s="50" t="str">
        <f t="shared" si="27"/>
        <v/>
      </c>
      <c r="C116" s="85" t="str">
        <f t="shared" si="28"/>
        <v/>
      </c>
      <c r="D116" s="85" t="str">
        <f t="shared" si="29"/>
        <v/>
      </c>
      <c r="E116" s="85" t="str">
        <f t="shared" si="30"/>
        <v/>
      </c>
      <c r="F116" s="85" t="str">
        <f t="shared" si="31"/>
        <v/>
      </c>
      <c r="G116" s="85" t="str">
        <f t="shared" si="32"/>
        <v/>
      </c>
      <c r="H116" s="85" t="str">
        <f t="shared" si="33"/>
        <v/>
      </c>
      <c r="I116" s="85" t="str">
        <f t="shared" si="34"/>
        <v/>
      </c>
      <c r="J116" s="90" t="str">
        <f t="shared" si="35"/>
        <v/>
      </c>
    </row>
    <row r="117" spans="2:10" x14ac:dyDescent="0.3">
      <c r="B117" s="49" t="str">
        <f t="shared" si="27"/>
        <v/>
      </c>
      <c r="C117" s="84" t="str">
        <f t="shared" si="28"/>
        <v/>
      </c>
      <c r="D117" s="84" t="str">
        <f t="shared" si="29"/>
        <v/>
      </c>
      <c r="E117" s="84" t="str">
        <f t="shared" si="30"/>
        <v/>
      </c>
      <c r="F117" s="84" t="str">
        <f t="shared" si="31"/>
        <v/>
      </c>
      <c r="G117" s="84" t="str">
        <f t="shared" si="32"/>
        <v/>
      </c>
      <c r="H117" s="84" t="str">
        <f t="shared" si="33"/>
        <v/>
      </c>
      <c r="I117" s="84" t="str">
        <f t="shared" si="34"/>
        <v/>
      </c>
      <c r="J117" s="89" t="str">
        <f t="shared" si="35"/>
        <v/>
      </c>
    </row>
    <row r="118" spans="2:10" x14ac:dyDescent="0.3">
      <c r="B118" s="50" t="str">
        <f t="shared" si="27"/>
        <v/>
      </c>
      <c r="C118" s="85" t="str">
        <f t="shared" si="28"/>
        <v/>
      </c>
      <c r="D118" s="85" t="str">
        <f t="shared" si="29"/>
        <v/>
      </c>
      <c r="E118" s="85" t="str">
        <f t="shared" si="30"/>
        <v/>
      </c>
      <c r="F118" s="85" t="str">
        <f t="shared" si="31"/>
        <v/>
      </c>
      <c r="G118" s="85" t="str">
        <f t="shared" si="32"/>
        <v/>
      </c>
      <c r="H118" s="85" t="str">
        <f t="shared" si="33"/>
        <v/>
      </c>
      <c r="I118" s="85" t="str">
        <f t="shared" si="34"/>
        <v/>
      </c>
      <c r="J118" s="90" t="str">
        <f t="shared" si="35"/>
        <v/>
      </c>
    </row>
    <row r="119" spans="2:10" x14ac:dyDescent="0.3">
      <c r="B119" s="49" t="str">
        <f t="shared" si="27"/>
        <v/>
      </c>
      <c r="C119" s="84" t="str">
        <f t="shared" si="28"/>
        <v/>
      </c>
      <c r="D119" s="84" t="str">
        <f t="shared" si="29"/>
        <v/>
      </c>
      <c r="E119" s="84" t="str">
        <f t="shared" si="30"/>
        <v/>
      </c>
      <c r="F119" s="84" t="str">
        <f t="shared" si="31"/>
        <v/>
      </c>
      <c r="G119" s="84" t="str">
        <f t="shared" si="32"/>
        <v/>
      </c>
      <c r="H119" s="84" t="str">
        <f t="shared" si="33"/>
        <v/>
      </c>
      <c r="I119" s="84" t="str">
        <f t="shared" si="34"/>
        <v/>
      </c>
      <c r="J119" s="89" t="str">
        <f t="shared" si="35"/>
        <v/>
      </c>
    </row>
    <row r="120" spans="2:10" x14ac:dyDescent="0.3">
      <c r="B120" s="50" t="str">
        <f t="shared" si="27"/>
        <v/>
      </c>
      <c r="C120" s="85" t="str">
        <f t="shared" si="28"/>
        <v/>
      </c>
      <c r="D120" s="85" t="str">
        <f t="shared" si="29"/>
        <v/>
      </c>
      <c r="E120" s="85" t="str">
        <f t="shared" si="30"/>
        <v/>
      </c>
      <c r="F120" s="85" t="str">
        <f t="shared" si="31"/>
        <v/>
      </c>
      <c r="G120" s="85" t="str">
        <f t="shared" si="32"/>
        <v/>
      </c>
      <c r="H120" s="85" t="str">
        <f t="shared" si="33"/>
        <v/>
      </c>
      <c r="I120" s="85" t="str">
        <f t="shared" si="34"/>
        <v/>
      </c>
      <c r="J120" s="90" t="str">
        <f t="shared" si="35"/>
        <v/>
      </c>
    </row>
    <row r="121" spans="2:10" x14ac:dyDescent="0.3">
      <c r="B121" s="49" t="str">
        <f t="shared" si="27"/>
        <v/>
      </c>
      <c r="C121" s="84" t="str">
        <f t="shared" si="28"/>
        <v/>
      </c>
      <c r="D121" s="84" t="str">
        <f t="shared" si="29"/>
        <v/>
      </c>
      <c r="E121" s="84" t="str">
        <f t="shared" si="30"/>
        <v/>
      </c>
      <c r="F121" s="84" t="str">
        <f t="shared" si="31"/>
        <v/>
      </c>
      <c r="G121" s="84" t="str">
        <f t="shared" si="32"/>
        <v/>
      </c>
      <c r="H121" s="84" t="str">
        <f t="shared" si="33"/>
        <v/>
      </c>
      <c r="I121" s="84" t="str">
        <f t="shared" si="34"/>
        <v/>
      </c>
      <c r="J121" s="89" t="str">
        <f t="shared" si="35"/>
        <v/>
      </c>
    </row>
    <row r="122" spans="2:10" x14ac:dyDescent="0.3">
      <c r="B122" s="50" t="str">
        <f t="shared" si="27"/>
        <v/>
      </c>
      <c r="C122" s="85" t="str">
        <f t="shared" si="28"/>
        <v/>
      </c>
      <c r="D122" s="85" t="str">
        <f t="shared" si="29"/>
        <v/>
      </c>
      <c r="E122" s="85" t="str">
        <f t="shared" si="30"/>
        <v/>
      </c>
      <c r="F122" s="85" t="str">
        <f t="shared" si="31"/>
        <v/>
      </c>
      <c r="G122" s="85" t="str">
        <f t="shared" si="32"/>
        <v/>
      </c>
      <c r="H122" s="85" t="str">
        <f t="shared" si="33"/>
        <v/>
      </c>
      <c r="I122" s="85" t="str">
        <f t="shared" si="34"/>
        <v/>
      </c>
      <c r="J122" s="90" t="str">
        <f t="shared" si="35"/>
        <v/>
      </c>
    </row>
    <row r="123" spans="2:10" x14ac:dyDescent="0.3">
      <c r="B123" s="49" t="str">
        <f t="shared" si="27"/>
        <v/>
      </c>
      <c r="C123" s="84" t="str">
        <f t="shared" si="28"/>
        <v/>
      </c>
      <c r="D123" s="84" t="str">
        <f t="shared" si="29"/>
        <v/>
      </c>
      <c r="E123" s="84" t="str">
        <f t="shared" si="30"/>
        <v/>
      </c>
      <c r="F123" s="84" t="str">
        <f t="shared" si="31"/>
        <v/>
      </c>
      <c r="G123" s="84" t="str">
        <f t="shared" si="32"/>
        <v/>
      </c>
      <c r="H123" s="84" t="str">
        <f t="shared" si="33"/>
        <v/>
      </c>
      <c r="I123" s="84" t="str">
        <f t="shared" si="34"/>
        <v/>
      </c>
      <c r="J123" s="89" t="str">
        <f t="shared" si="35"/>
        <v/>
      </c>
    </row>
    <row r="124" spans="2:10" x14ac:dyDescent="0.3">
      <c r="B124" s="50" t="str">
        <f t="shared" si="27"/>
        <v/>
      </c>
      <c r="C124" s="85" t="str">
        <f t="shared" si="28"/>
        <v/>
      </c>
      <c r="D124" s="85" t="str">
        <f t="shared" si="29"/>
        <v/>
      </c>
      <c r="E124" s="85" t="str">
        <f t="shared" si="30"/>
        <v/>
      </c>
      <c r="F124" s="85" t="str">
        <f t="shared" si="31"/>
        <v/>
      </c>
      <c r="G124" s="85" t="str">
        <f t="shared" si="32"/>
        <v/>
      </c>
      <c r="H124" s="85" t="str">
        <f t="shared" si="33"/>
        <v/>
      </c>
      <c r="I124" s="85" t="str">
        <f t="shared" si="34"/>
        <v/>
      </c>
      <c r="J124" s="90" t="str">
        <f t="shared" si="35"/>
        <v/>
      </c>
    </row>
    <row r="125" spans="2:10" x14ac:dyDescent="0.3">
      <c r="B125" s="49" t="str">
        <f t="shared" si="27"/>
        <v/>
      </c>
      <c r="C125" s="84" t="str">
        <f t="shared" si="28"/>
        <v/>
      </c>
      <c r="D125" s="84" t="str">
        <f t="shared" si="29"/>
        <v/>
      </c>
      <c r="E125" s="84" t="str">
        <f t="shared" si="30"/>
        <v/>
      </c>
      <c r="F125" s="84" t="str">
        <f t="shared" si="31"/>
        <v/>
      </c>
      <c r="G125" s="84" t="str">
        <f t="shared" si="32"/>
        <v/>
      </c>
      <c r="H125" s="84" t="str">
        <f t="shared" si="33"/>
        <v/>
      </c>
      <c r="I125" s="84" t="str">
        <f t="shared" si="34"/>
        <v/>
      </c>
      <c r="J125" s="89" t="str">
        <f t="shared" si="35"/>
        <v/>
      </c>
    </row>
    <row r="126" spans="2:10" x14ac:dyDescent="0.3">
      <c r="B126" s="50" t="str">
        <f t="shared" si="27"/>
        <v/>
      </c>
      <c r="C126" s="85" t="str">
        <f t="shared" si="28"/>
        <v/>
      </c>
      <c r="D126" s="85" t="str">
        <f t="shared" si="29"/>
        <v/>
      </c>
      <c r="E126" s="85" t="str">
        <f t="shared" si="30"/>
        <v/>
      </c>
      <c r="F126" s="85" t="str">
        <f t="shared" si="31"/>
        <v/>
      </c>
      <c r="G126" s="85" t="str">
        <f t="shared" si="32"/>
        <v/>
      </c>
      <c r="H126" s="85" t="str">
        <f t="shared" si="33"/>
        <v/>
      </c>
      <c r="I126" s="85" t="str">
        <f t="shared" si="34"/>
        <v/>
      </c>
      <c r="J126" s="90" t="str">
        <f t="shared" si="35"/>
        <v/>
      </c>
    </row>
    <row r="127" spans="2:10" x14ac:dyDescent="0.3">
      <c r="B127" s="49" t="str">
        <f t="shared" si="27"/>
        <v/>
      </c>
      <c r="C127" s="84" t="str">
        <f t="shared" si="28"/>
        <v/>
      </c>
      <c r="D127" s="84" t="str">
        <f t="shared" si="29"/>
        <v/>
      </c>
      <c r="E127" s="84" t="str">
        <f t="shared" si="30"/>
        <v/>
      </c>
      <c r="F127" s="84" t="str">
        <f t="shared" si="31"/>
        <v/>
      </c>
      <c r="G127" s="84" t="str">
        <f t="shared" si="32"/>
        <v/>
      </c>
      <c r="H127" s="84" t="str">
        <f t="shared" si="33"/>
        <v/>
      </c>
      <c r="I127" s="84" t="str">
        <f t="shared" si="34"/>
        <v/>
      </c>
      <c r="J127" s="89" t="str">
        <f t="shared" si="35"/>
        <v/>
      </c>
    </row>
    <row r="128" spans="2:10" x14ac:dyDescent="0.3">
      <c r="B128" s="50" t="str">
        <f t="shared" si="27"/>
        <v/>
      </c>
      <c r="C128" s="85" t="str">
        <f t="shared" si="28"/>
        <v/>
      </c>
      <c r="D128" s="85" t="str">
        <f t="shared" si="29"/>
        <v/>
      </c>
      <c r="E128" s="85" t="str">
        <f t="shared" si="30"/>
        <v/>
      </c>
      <c r="F128" s="85" t="str">
        <f t="shared" si="31"/>
        <v/>
      </c>
      <c r="G128" s="85" t="str">
        <f t="shared" si="32"/>
        <v/>
      </c>
      <c r="H128" s="85" t="str">
        <f t="shared" si="33"/>
        <v/>
      </c>
      <c r="I128" s="85" t="str">
        <f t="shared" si="34"/>
        <v/>
      </c>
      <c r="J128" s="90" t="str">
        <f t="shared" si="35"/>
        <v/>
      </c>
    </row>
    <row r="129" spans="2:10" x14ac:dyDescent="0.3">
      <c r="B129" s="49" t="str">
        <f t="shared" si="27"/>
        <v/>
      </c>
      <c r="C129" s="84" t="str">
        <f t="shared" si="28"/>
        <v/>
      </c>
      <c r="D129" s="84" t="str">
        <f t="shared" si="29"/>
        <v/>
      </c>
      <c r="E129" s="84" t="str">
        <f t="shared" si="30"/>
        <v/>
      </c>
      <c r="F129" s="84" t="str">
        <f t="shared" si="31"/>
        <v/>
      </c>
      <c r="G129" s="84" t="str">
        <f t="shared" si="32"/>
        <v/>
      </c>
      <c r="H129" s="84" t="str">
        <f t="shared" si="33"/>
        <v/>
      </c>
      <c r="I129" s="84" t="str">
        <f t="shared" si="34"/>
        <v/>
      </c>
      <c r="J129" s="89" t="str">
        <f t="shared" si="35"/>
        <v/>
      </c>
    </row>
    <row r="130" spans="2:10" x14ac:dyDescent="0.3">
      <c r="B130" s="50" t="str">
        <f t="shared" si="27"/>
        <v/>
      </c>
      <c r="C130" s="85" t="str">
        <f t="shared" si="28"/>
        <v/>
      </c>
      <c r="D130" s="85" t="str">
        <f t="shared" si="29"/>
        <v/>
      </c>
      <c r="E130" s="85" t="str">
        <f t="shared" si="30"/>
        <v/>
      </c>
      <c r="F130" s="85" t="str">
        <f t="shared" si="31"/>
        <v/>
      </c>
      <c r="G130" s="85" t="str">
        <f t="shared" si="32"/>
        <v/>
      </c>
      <c r="H130" s="85" t="str">
        <f t="shared" si="33"/>
        <v/>
      </c>
      <c r="I130" s="85" t="str">
        <f t="shared" si="34"/>
        <v/>
      </c>
      <c r="J130" s="90" t="str">
        <f t="shared" si="35"/>
        <v/>
      </c>
    </row>
    <row r="131" spans="2:10" x14ac:dyDescent="0.3">
      <c r="B131" s="49" t="str">
        <f t="shared" si="27"/>
        <v/>
      </c>
      <c r="C131" s="84" t="str">
        <f t="shared" si="28"/>
        <v/>
      </c>
      <c r="D131" s="84" t="str">
        <f t="shared" si="29"/>
        <v/>
      </c>
      <c r="E131" s="84" t="str">
        <f t="shared" si="30"/>
        <v/>
      </c>
      <c r="F131" s="84" t="str">
        <f t="shared" si="31"/>
        <v/>
      </c>
      <c r="G131" s="84" t="str">
        <f t="shared" si="32"/>
        <v/>
      </c>
      <c r="H131" s="84" t="str">
        <f t="shared" si="33"/>
        <v/>
      </c>
      <c r="I131" s="84" t="str">
        <f t="shared" si="34"/>
        <v/>
      </c>
      <c r="J131" s="89" t="str">
        <f t="shared" si="35"/>
        <v/>
      </c>
    </row>
    <row r="132" spans="2:10" x14ac:dyDescent="0.3">
      <c r="B132" s="50" t="str">
        <f t="shared" si="27"/>
        <v/>
      </c>
      <c r="C132" s="85" t="str">
        <f t="shared" si="28"/>
        <v/>
      </c>
      <c r="D132" s="85" t="str">
        <f t="shared" si="29"/>
        <v/>
      </c>
      <c r="E132" s="85" t="str">
        <f t="shared" si="30"/>
        <v/>
      </c>
      <c r="F132" s="85" t="str">
        <f t="shared" si="31"/>
        <v/>
      </c>
      <c r="G132" s="85" t="str">
        <f t="shared" si="32"/>
        <v/>
      </c>
      <c r="H132" s="85" t="str">
        <f t="shared" si="33"/>
        <v/>
      </c>
      <c r="I132" s="85" t="str">
        <f t="shared" si="34"/>
        <v/>
      </c>
      <c r="J132" s="90" t="str">
        <f t="shared" si="35"/>
        <v/>
      </c>
    </row>
    <row r="133" spans="2:10" x14ac:dyDescent="0.3">
      <c r="B133" s="49" t="str">
        <f t="shared" si="27"/>
        <v/>
      </c>
      <c r="C133" s="84" t="str">
        <f t="shared" si="28"/>
        <v/>
      </c>
      <c r="D133" s="84" t="str">
        <f t="shared" si="29"/>
        <v/>
      </c>
      <c r="E133" s="84" t="str">
        <f t="shared" si="30"/>
        <v/>
      </c>
      <c r="F133" s="84" t="str">
        <f t="shared" si="31"/>
        <v/>
      </c>
      <c r="G133" s="84" t="str">
        <f t="shared" si="32"/>
        <v/>
      </c>
      <c r="H133" s="84" t="str">
        <f t="shared" si="33"/>
        <v/>
      </c>
      <c r="I133" s="84" t="str">
        <f t="shared" si="34"/>
        <v/>
      </c>
      <c r="J133" s="89" t="str">
        <f t="shared" si="35"/>
        <v/>
      </c>
    </row>
    <row r="134" spans="2:10" x14ac:dyDescent="0.3">
      <c r="B134" s="50" t="str">
        <f t="shared" si="27"/>
        <v/>
      </c>
      <c r="C134" s="85" t="str">
        <f t="shared" si="28"/>
        <v/>
      </c>
      <c r="D134" s="85" t="str">
        <f t="shared" si="29"/>
        <v/>
      </c>
      <c r="E134" s="85" t="str">
        <f t="shared" si="30"/>
        <v/>
      </c>
      <c r="F134" s="85" t="str">
        <f t="shared" si="31"/>
        <v/>
      </c>
      <c r="G134" s="85" t="str">
        <f t="shared" si="32"/>
        <v/>
      </c>
      <c r="H134" s="85" t="str">
        <f t="shared" si="33"/>
        <v/>
      </c>
      <c r="I134" s="85" t="str">
        <f t="shared" si="34"/>
        <v/>
      </c>
      <c r="J134" s="90" t="str">
        <f t="shared" si="35"/>
        <v/>
      </c>
    </row>
    <row r="135" spans="2:10" x14ac:dyDescent="0.3">
      <c r="B135" s="49" t="str">
        <f t="shared" si="27"/>
        <v/>
      </c>
      <c r="C135" s="84" t="str">
        <f t="shared" si="28"/>
        <v/>
      </c>
      <c r="D135" s="84" t="str">
        <f t="shared" si="29"/>
        <v/>
      </c>
      <c r="E135" s="84" t="str">
        <f t="shared" si="30"/>
        <v/>
      </c>
      <c r="F135" s="84" t="str">
        <f t="shared" si="31"/>
        <v/>
      </c>
      <c r="G135" s="84" t="str">
        <f t="shared" si="32"/>
        <v/>
      </c>
      <c r="H135" s="84" t="str">
        <f t="shared" si="33"/>
        <v/>
      </c>
      <c r="I135" s="84" t="str">
        <f t="shared" si="34"/>
        <v/>
      </c>
      <c r="J135" s="89" t="str">
        <f t="shared" si="35"/>
        <v/>
      </c>
    </row>
    <row r="136" spans="2:10" x14ac:dyDescent="0.3">
      <c r="B136" s="50" t="str">
        <f t="shared" si="27"/>
        <v/>
      </c>
      <c r="C136" s="85" t="str">
        <f t="shared" si="28"/>
        <v/>
      </c>
      <c r="D136" s="85" t="str">
        <f t="shared" si="29"/>
        <v/>
      </c>
      <c r="E136" s="85" t="str">
        <f t="shared" si="30"/>
        <v/>
      </c>
      <c r="F136" s="85" t="str">
        <f t="shared" si="31"/>
        <v/>
      </c>
      <c r="G136" s="85" t="str">
        <f t="shared" si="32"/>
        <v/>
      </c>
      <c r="H136" s="85" t="str">
        <f t="shared" si="33"/>
        <v/>
      </c>
      <c r="I136" s="85" t="str">
        <f t="shared" si="34"/>
        <v/>
      </c>
      <c r="J136" s="90" t="str">
        <f t="shared" si="35"/>
        <v/>
      </c>
    </row>
    <row r="137" spans="2:10" x14ac:dyDescent="0.3">
      <c r="B137" s="49" t="str">
        <f t="shared" si="27"/>
        <v/>
      </c>
      <c r="C137" s="84" t="str">
        <f t="shared" si="28"/>
        <v/>
      </c>
      <c r="D137" s="84" t="str">
        <f t="shared" si="29"/>
        <v/>
      </c>
      <c r="E137" s="84" t="str">
        <f t="shared" si="30"/>
        <v/>
      </c>
      <c r="F137" s="84" t="str">
        <f t="shared" si="31"/>
        <v/>
      </c>
      <c r="G137" s="84" t="str">
        <f t="shared" si="32"/>
        <v/>
      </c>
      <c r="H137" s="84" t="str">
        <f t="shared" si="33"/>
        <v/>
      </c>
      <c r="I137" s="84" t="str">
        <f t="shared" si="34"/>
        <v/>
      </c>
      <c r="J137" s="89" t="str">
        <f t="shared" si="35"/>
        <v/>
      </c>
    </row>
    <row r="138" spans="2:10" x14ac:dyDescent="0.3">
      <c r="B138" s="50" t="str">
        <f t="shared" si="27"/>
        <v/>
      </c>
      <c r="C138" s="85" t="str">
        <f t="shared" si="28"/>
        <v/>
      </c>
      <c r="D138" s="85" t="str">
        <f t="shared" si="29"/>
        <v/>
      </c>
      <c r="E138" s="85" t="str">
        <f t="shared" si="30"/>
        <v/>
      </c>
      <c r="F138" s="85" t="str">
        <f t="shared" si="31"/>
        <v/>
      </c>
      <c r="G138" s="85" t="str">
        <f t="shared" si="32"/>
        <v/>
      </c>
      <c r="H138" s="85" t="str">
        <f t="shared" si="33"/>
        <v/>
      </c>
      <c r="I138" s="85" t="str">
        <f t="shared" si="34"/>
        <v/>
      </c>
      <c r="J138" s="90" t="str">
        <f t="shared" si="35"/>
        <v/>
      </c>
    </row>
    <row r="159" spans="2:14" x14ac:dyDescent="0.3">
      <c r="B159" s="25" t="s">
        <v>25</v>
      </c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</row>
  </sheetData>
  <mergeCells count="17">
    <mergeCell ref="B3:N3"/>
    <mergeCell ref="B2:N2"/>
    <mergeCell ref="B5:C5"/>
    <mergeCell ref="K6:L7"/>
    <mergeCell ref="M6:N7"/>
    <mergeCell ref="G5:H5"/>
    <mergeCell ref="E5:F5"/>
    <mergeCell ref="K5:L5"/>
    <mergeCell ref="I5:J5"/>
    <mergeCell ref="M5:N5"/>
    <mergeCell ref="B159:N159"/>
    <mergeCell ref="B16:N16"/>
    <mergeCell ref="B14:N14"/>
    <mergeCell ref="E6:F7"/>
    <mergeCell ref="I6:J7"/>
    <mergeCell ref="G6:H7"/>
    <mergeCell ref="B15:N15"/>
  </mergeCells>
  <conditionalFormatting sqref="C6:C7">
    <cfRule type="cellIs" dxfId="4" priority="1" operator="lessThan">
      <formula>0</formula>
    </cfRule>
  </conditionalFormatting>
  <conditionalFormatting sqref="C8">
    <cfRule type="cellIs" dxfId="3" priority="2" operator="lessThan">
      <formula>0</formula>
    </cfRule>
  </conditionalFormatting>
  <conditionalFormatting sqref="C9">
    <cfRule type="cellIs" dxfId="2" priority="3" operator="lessThan">
      <formula>0</formula>
    </cfRule>
  </conditionalFormatting>
  <conditionalFormatting sqref="C10">
    <cfRule type="cellIs" dxfId="1" priority="4" operator="lessThan">
      <formula>0</formula>
    </cfRule>
  </conditionalFormatting>
  <conditionalFormatting sqref="C11">
    <cfRule type="cellIs" dxfId="0" priority="5" operator="lessThan">
      <formula>0</formula>
    </cfRule>
  </conditionalFormatting>
  <dataValidations count="3">
    <dataValidation type="decimal" operator="greaterThanOrEqual" sqref="C6:C7 C10" xr:uid="{00000000-0002-0000-0000-000000000000}">
      <formula1>0</formula1>
    </dataValidation>
    <dataValidation type="whole" operator="greaterThan" sqref="C8" xr:uid="{00000000-0002-0000-0000-000001000000}">
      <formula1>0</formula1>
    </dataValidation>
    <dataValidation type="decimal" sqref="C9 C11" xr:uid="{00000000-0002-0000-0000-000002000000}">
      <formula1>0</formula1>
      <formula2>1</formula2>
    </dataValidation>
  </dataValidations>
  <pageMargins left="0.75" right="0.75" top="1" bottom="1" header="0.5" footer="0.5"/>
  <pageSetup fitToHeight="0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:J138"/>
  <sheetViews>
    <sheetView showGridLines="0" topLeftCell="A10" zoomScale="110" zoomScaleNormal="110" workbookViewId="0">
      <selection activeCell="E9" sqref="E9"/>
    </sheetView>
  </sheetViews>
  <sheetFormatPr defaultColWidth="0" defaultRowHeight="14.4" x14ac:dyDescent="0.3"/>
  <cols>
    <col min="1" max="1" width="5.44140625" customWidth="1"/>
    <col min="2" max="2" width="46.77734375" customWidth="1"/>
    <col min="3" max="3" width="17.44140625" style="2" bestFit="1" customWidth="1"/>
    <col min="4" max="4" width="18.109375" style="2" customWidth="1"/>
    <col min="5" max="8" width="3.5546875" style="2" customWidth="1"/>
    <col min="9" max="9" width="8.77734375" style="2" hidden="1" customWidth="1"/>
    <col min="10" max="10" width="8.77734375" style="2" hidden="1"/>
    <col min="11" max="16384" width="8.77734375" hidden="1"/>
  </cols>
  <sheetData>
    <row r="10" spans="2:4" ht="15" customHeight="1" thickBot="1" x14ac:dyDescent="0.35"/>
    <row r="11" spans="2:4" ht="25.95" customHeight="1" x14ac:dyDescent="0.4">
      <c r="B11" s="4" t="s">
        <v>26</v>
      </c>
      <c r="C11" s="86"/>
      <c r="D11" s="87"/>
    </row>
    <row r="12" spans="2:4" ht="17.55" customHeight="1" x14ac:dyDescent="0.45">
      <c r="B12" s="43" t="s">
        <v>27</v>
      </c>
      <c r="C12" s="44"/>
      <c r="D12" s="7">
        <v>2000</v>
      </c>
    </row>
    <row r="13" spans="2:4" ht="17.55" customHeight="1" x14ac:dyDescent="0.45">
      <c r="B13" s="37" t="s">
        <v>28</v>
      </c>
      <c r="C13" s="38"/>
      <c r="D13" s="8">
        <v>6.0000000000000001E-3</v>
      </c>
    </row>
    <row r="14" spans="2:4" ht="18" customHeight="1" thickBot="1" x14ac:dyDescent="0.5">
      <c r="B14" s="42" t="s">
        <v>29</v>
      </c>
      <c r="C14" s="39"/>
      <c r="D14" s="9">
        <f>D12*30%</f>
        <v>600</v>
      </c>
    </row>
    <row r="15" spans="2:4" ht="15" customHeight="1" thickBot="1" x14ac:dyDescent="0.35"/>
    <row r="16" spans="2:4" ht="28.5" customHeight="1" x14ac:dyDescent="0.3">
      <c r="B16" s="45" t="s">
        <v>30</v>
      </c>
      <c r="C16" s="41"/>
      <c r="D16" s="46"/>
    </row>
    <row r="17" spans="1:10" ht="17.55" customHeight="1" x14ac:dyDescent="0.45">
      <c r="B17" s="43" t="s">
        <v>31</v>
      </c>
      <c r="C17" s="44"/>
      <c r="D17" s="6">
        <v>200</v>
      </c>
    </row>
    <row r="18" spans="1:10" ht="17.55" customHeight="1" x14ac:dyDescent="0.45">
      <c r="B18" s="37" t="s">
        <v>32</v>
      </c>
      <c r="C18" s="38"/>
      <c r="D18" s="48">
        <v>5</v>
      </c>
    </row>
    <row r="19" spans="1:10" ht="17.55" customHeight="1" x14ac:dyDescent="0.3">
      <c r="B19" s="51" t="s">
        <v>33</v>
      </c>
      <c r="C19" s="52"/>
      <c r="D19" s="53">
        <v>1.0789999999999999E-2</v>
      </c>
      <c r="E19" s="75"/>
      <c r="F19" s="75"/>
      <c r="G19" s="75"/>
      <c r="H19" s="75"/>
      <c r="I19" s="75"/>
      <c r="J19" s="75"/>
    </row>
    <row r="20" spans="1:10" ht="17.55" customHeight="1" x14ac:dyDescent="0.3">
      <c r="B20" s="55" t="s">
        <v>34</v>
      </c>
      <c r="C20" s="52"/>
      <c r="D20" s="56">
        <f>FV(taxa_mensal,qtd_anos*12,aporte*-1)</f>
        <v>16755.382799697527</v>
      </c>
      <c r="E20" s="75"/>
      <c r="F20" s="75"/>
      <c r="G20" s="75"/>
      <c r="H20" s="75"/>
      <c r="I20" s="75"/>
      <c r="J20" s="75"/>
    </row>
    <row r="21" spans="1:10" ht="18" customHeight="1" thickBot="1" x14ac:dyDescent="0.35">
      <c r="B21" s="57" t="s">
        <v>35</v>
      </c>
      <c r="C21" s="58"/>
      <c r="D21" s="59">
        <f>patrimonio*rendimento_carteira</f>
        <v>100.53229679818516</v>
      </c>
      <c r="E21" s="75"/>
      <c r="F21" s="76"/>
      <c r="G21" s="75"/>
      <c r="H21" s="75"/>
      <c r="I21" s="75"/>
      <c r="J21" s="75"/>
    </row>
    <row r="22" spans="1:10" ht="15" customHeight="1" thickBot="1" x14ac:dyDescent="0.35">
      <c r="B22" s="54"/>
      <c r="C22" s="75"/>
      <c r="D22" s="75"/>
      <c r="E22" s="75"/>
      <c r="F22" s="75"/>
      <c r="G22" s="75"/>
      <c r="H22" s="75"/>
      <c r="I22" s="75"/>
      <c r="J22" s="75"/>
    </row>
    <row r="23" spans="1:10" ht="28.95" customHeight="1" x14ac:dyDescent="0.3">
      <c r="B23" s="40" t="s">
        <v>36</v>
      </c>
      <c r="C23" s="60"/>
      <c r="D23" s="5" t="s">
        <v>37</v>
      </c>
      <c r="E23" s="75"/>
      <c r="F23" s="75"/>
      <c r="G23" s="75"/>
      <c r="H23" s="75"/>
      <c r="I23" s="75"/>
      <c r="J23" s="75"/>
    </row>
    <row r="24" spans="1:10" ht="17.55" customHeight="1" x14ac:dyDescent="0.3">
      <c r="A24" s="1">
        <v>2</v>
      </c>
      <c r="B24" s="61" t="s">
        <v>38</v>
      </c>
      <c r="C24" s="62">
        <f>FV($D$19,$A24*12,$D$17*-1)</f>
        <v>5445.5254595290435</v>
      </c>
      <c r="D24" s="63">
        <f>C24*rendimento_carteira</f>
        <v>32.673152757174265</v>
      </c>
      <c r="E24" s="75"/>
      <c r="F24" s="75"/>
      <c r="G24" s="75"/>
      <c r="H24" s="75"/>
      <c r="I24" s="75"/>
      <c r="J24" s="75"/>
    </row>
    <row r="25" spans="1:10" ht="17.55" customHeight="1" x14ac:dyDescent="0.3">
      <c r="A25" s="1">
        <v>5</v>
      </c>
      <c r="B25" s="64" t="s">
        <v>39</v>
      </c>
      <c r="C25" s="65">
        <f>FV($D$19,$A25*12,$D$17*-1)</f>
        <v>16755.382799697527</v>
      </c>
      <c r="D25" s="66">
        <f>C25*rendimento_carteira</f>
        <v>100.53229679818516</v>
      </c>
      <c r="E25" s="75"/>
      <c r="F25" s="75"/>
      <c r="G25" s="75"/>
      <c r="H25" s="75"/>
      <c r="I25" s="75"/>
      <c r="J25" s="75"/>
    </row>
    <row r="26" spans="1:10" ht="17.55" customHeight="1" x14ac:dyDescent="0.3">
      <c r="A26" s="1">
        <v>10</v>
      </c>
      <c r="B26" s="64" t="s">
        <v>40</v>
      </c>
      <c r="C26" s="65">
        <f>FV($D$19,$A26*12,$D$17*-1)</f>
        <v>48656.842506034438</v>
      </c>
      <c r="D26" s="66">
        <f>C26*rendimento_carteira</f>
        <v>291.94105503620665</v>
      </c>
      <c r="E26" s="75"/>
      <c r="F26" s="75"/>
      <c r="G26" s="75"/>
      <c r="H26" s="75"/>
      <c r="I26" s="75"/>
      <c r="J26" s="75"/>
    </row>
    <row r="27" spans="1:10" ht="17.55" customHeight="1" x14ac:dyDescent="0.3">
      <c r="A27" s="1">
        <v>20</v>
      </c>
      <c r="B27" s="64" t="s">
        <v>41</v>
      </c>
      <c r="C27" s="65">
        <f>FV($D$19,$A27*12,$D$17*-1)</f>
        <v>225039.68001941612</v>
      </c>
      <c r="D27" s="66">
        <f>C27*rendimento_carteira</f>
        <v>1350.2380801164968</v>
      </c>
      <c r="E27" s="75"/>
      <c r="F27" s="75"/>
      <c r="G27" s="75"/>
      <c r="H27" s="75"/>
      <c r="I27" s="75"/>
      <c r="J27" s="75"/>
    </row>
    <row r="28" spans="1:10" ht="18" customHeight="1" thickBot="1" x14ac:dyDescent="0.35">
      <c r="A28" s="1">
        <v>30</v>
      </c>
      <c r="B28" s="67" t="s">
        <v>42</v>
      </c>
      <c r="C28" s="68">
        <f>FV($D$19,$A28*12,$D$17*-1)</f>
        <v>864433.93100094295</v>
      </c>
      <c r="D28" s="69">
        <f>C28*rendimento_carteira</f>
        <v>5186.6035860056581</v>
      </c>
      <c r="E28" s="75"/>
      <c r="F28" s="75"/>
      <c r="G28" s="75"/>
      <c r="H28" s="75"/>
      <c r="I28" s="75"/>
      <c r="J28" s="75"/>
    </row>
    <row r="29" spans="1:10" x14ac:dyDescent="0.3">
      <c r="B29" s="54"/>
      <c r="C29" s="75"/>
      <c r="D29" s="75"/>
      <c r="E29" s="75"/>
      <c r="F29" s="75"/>
      <c r="G29" s="75"/>
      <c r="H29" s="75"/>
      <c r="I29" s="75"/>
      <c r="J29" s="75"/>
    </row>
    <row r="30" spans="1:10" x14ac:dyDescent="0.3">
      <c r="B30" s="54"/>
      <c r="C30" s="75"/>
      <c r="D30" s="75"/>
      <c r="E30" s="75"/>
      <c r="F30" s="75"/>
      <c r="G30" s="75"/>
      <c r="H30" s="75"/>
      <c r="I30" s="75"/>
      <c r="J30" s="75"/>
    </row>
    <row r="31" spans="1:10" x14ac:dyDescent="0.3">
      <c r="B31" s="54"/>
      <c r="C31" s="75"/>
      <c r="D31" s="75"/>
      <c r="E31" s="75"/>
      <c r="F31" s="75"/>
      <c r="G31" s="75"/>
      <c r="H31" s="75"/>
      <c r="I31" s="75"/>
      <c r="J31" s="75"/>
    </row>
    <row r="32" spans="1:10" x14ac:dyDescent="0.3">
      <c r="B32" s="70" t="s">
        <v>43</v>
      </c>
      <c r="C32" s="71" t="s">
        <v>44</v>
      </c>
      <c r="D32" s="71"/>
      <c r="E32" s="75"/>
      <c r="F32" s="75"/>
      <c r="G32" s="75"/>
      <c r="H32" s="75"/>
      <c r="I32" s="75"/>
      <c r="J32" s="75"/>
    </row>
    <row r="33" spans="2:10" x14ac:dyDescent="0.3">
      <c r="B33" s="72" t="s">
        <v>45</v>
      </c>
      <c r="C33" s="73">
        <f>aporte</f>
        <v>200</v>
      </c>
      <c r="D33" s="88"/>
      <c r="E33" s="75"/>
      <c r="F33" s="75"/>
      <c r="G33" s="75"/>
      <c r="H33" s="75"/>
      <c r="I33" s="75"/>
      <c r="J33" s="75"/>
    </row>
    <row r="34" spans="2:10" x14ac:dyDescent="0.3">
      <c r="B34" s="54"/>
      <c r="C34" s="75"/>
      <c r="D34" s="75"/>
      <c r="E34" s="75"/>
      <c r="F34" s="75"/>
      <c r="G34" s="75"/>
      <c r="H34" s="75"/>
      <c r="I34" s="75"/>
      <c r="J34" s="75"/>
    </row>
    <row r="35" spans="2:10" x14ac:dyDescent="0.3">
      <c r="B35" s="74" t="s">
        <v>46</v>
      </c>
      <c r="C35" s="74" t="s">
        <v>47</v>
      </c>
      <c r="D35" s="74" t="s">
        <v>48</v>
      </c>
      <c r="E35" s="75"/>
      <c r="F35" s="75"/>
      <c r="G35" s="75"/>
      <c r="H35" s="75"/>
      <c r="I35" s="75"/>
      <c r="J35" s="75"/>
    </row>
    <row r="36" spans="2:10" x14ac:dyDescent="0.3">
      <c r="B36" s="75" t="s">
        <v>49</v>
      </c>
      <c r="C36" s="76">
        <f>VLOOKUP($C$32&amp;"-"&amp;B36,Planilha2!$A:$D,4,FALSE)</f>
        <v>0.32</v>
      </c>
      <c r="D36" s="77">
        <f t="shared" ref="D36:D41" si="0">C36*$C$33</f>
        <v>64</v>
      </c>
      <c r="E36" s="75"/>
      <c r="F36" s="75"/>
      <c r="G36" s="75"/>
      <c r="H36" s="75"/>
      <c r="I36" s="75"/>
      <c r="J36" s="75"/>
    </row>
    <row r="37" spans="2:10" x14ac:dyDescent="0.3">
      <c r="B37" s="75" t="s">
        <v>50</v>
      </c>
      <c r="C37" s="76">
        <f>VLOOKUP($C$32&amp;"-"&amp;B37,Planilha2!$A:$D,4,FALSE)</f>
        <v>0.35</v>
      </c>
      <c r="D37" s="77">
        <f t="shared" si="0"/>
        <v>70</v>
      </c>
      <c r="E37" s="75"/>
      <c r="F37" s="75"/>
      <c r="G37" s="75"/>
      <c r="H37" s="75"/>
      <c r="I37" s="75"/>
      <c r="J37" s="75"/>
    </row>
    <row r="38" spans="2:10" x14ac:dyDescent="0.3">
      <c r="B38" s="75" t="s">
        <v>51</v>
      </c>
      <c r="C38" s="76">
        <f>VLOOKUP($C$32&amp;"-"&amp;B38,Planilha2!$A:$D,4,FALSE)</f>
        <v>0.08</v>
      </c>
      <c r="D38" s="77">
        <f t="shared" si="0"/>
        <v>16</v>
      </c>
      <c r="E38" s="75"/>
      <c r="F38" s="75"/>
      <c r="G38" s="75"/>
      <c r="H38" s="75"/>
      <c r="I38" s="75"/>
      <c r="J38" s="75"/>
    </row>
    <row r="39" spans="2:10" x14ac:dyDescent="0.3">
      <c r="B39" s="75" t="s">
        <v>52</v>
      </c>
      <c r="C39" s="76">
        <f>VLOOKUP($C$32&amp;"-"&amp;B39,Planilha2!$A:$D,4,FALSE)</f>
        <v>0.05</v>
      </c>
      <c r="D39" s="77">
        <f t="shared" si="0"/>
        <v>10</v>
      </c>
      <c r="E39" s="75"/>
      <c r="F39" s="75"/>
      <c r="G39" s="75"/>
      <c r="H39" s="75"/>
      <c r="I39" s="75"/>
      <c r="J39" s="75"/>
    </row>
    <row r="40" spans="2:10" x14ac:dyDescent="0.3">
      <c r="B40" s="75" t="s">
        <v>53</v>
      </c>
      <c r="C40" s="76">
        <f>VLOOKUP($C$32&amp;"-"&amp;B40,Planilha2!$A:$D,4,FALSE)</f>
        <v>0.1</v>
      </c>
      <c r="D40" s="77">
        <f t="shared" si="0"/>
        <v>20</v>
      </c>
      <c r="E40" s="75"/>
      <c r="F40" s="75"/>
      <c r="G40" s="75"/>
      <c r="H40" s="75"/>
      <c r="I40" s="75"/>
      <c r="J40" s="75"/>
    </row>
    <row r="41" spans="2:10" x14ac:dyDescent="0.3">
      <c r="B41" s="75" t="s">
        <v>54</v>
      </c>
      <c r="C41" s="76">
        <f>VLOOKUP($C$32&amp;"-"&amp;B41,Planilha2!$A:$D,4,FALSE)</f>
        <v>0.1</v>
      </c>
      <c r="D41" s="77">
        <f t="shared" si="0"/>
        <v>20</v>
      </c>
      <c r="E41" s="75"/>
      <c r="F41" s="75"/>
      <c r="G41" s="75"/>
      <c r="H41" s="75"/>
      <c r="I41" s="75"/>
      <c r="J41" s="75"/>
    </row>
    <row r="42" spans="2:10" x14ac:dyDescent="0.3">
      <c r="B42" s="78"/>
      <c r="C42" s="74"/>
      <c r="D42" s="79">
        <f>SUM(D36:D41)</f>
        <v>200</v>
      </c>
      <c r="E42" s="75"/>
      <c r="F42" s="75"/>
      <c r="G42" s="75"/>
      <c r="H42" s="75"/>
      <c r="I42" s="75"/>
      <c r="J42" s="75"/>
    </row>
    <row r="43" spans="2:10" x14ac:dyDescent="0.3">
      <c r="B43" s="54"/>
      <c r="C43" s="75"/>
      <c r="D43" s="75"/>
      <c r="E43" s="75"/>
      <c r="F43" s="75"/>
      <c r="G43" s="75"/>
      <c r="H43" s="75"/>
      <c r="I43" s="75"/>
      <c r="J43" s="75"/>
    </row>
    <row r="44" spans="2:10" x14ac:dyDescent="0.3">
      <c r="B44" s="54"/>
      <c r="C44" s="75"/>
      <c r="D44" s="75"/>
      <c r="E44" s="75"/>
      <c r="F44" s="75"/>
      <c r="G44" s="75"/>
      <c r="H44" s="75"/>
      <c r="I44" s="75"/>
      <c r="J44" s="75"/>
    </row>
    <row r="45" spans="2:10" x14ac:dyDescent="0.3">
      <c r="B45" s="54"/>
      <c r="C45" s="75"/>
      <c r="D45" s="75"/>
      <c r="E45" s="75"/>
      <c r="F45" s="75"/>
      <c r="G45" s="75"/>
      <c r="H45" s="75"/>
      <c r="I45" s="75"/>
      <c r="J45" s="75"/>
    </row>
    <row r="46" spans="2:10" x14ac:dyDescent="0.3">
      <c r="B46" s="54"/>
      <c r="C46" s="75"/>
      <c r="D46" s="75"/>
      <c r="E46" s="75"/>
      <c r="F46" s="75"/>
      <c r="G46" s="75"/>
      <c r="H46" s="75"/>
      <c r="I46" s="75"/>
      <c r="J46" s="75"/>
    </row>
    <row r="47" spans="2:10" x14ac:dyDescent="0.3">
      <c r="B47" s="54"/>
      <c r="C47" s="75"/>
      <c r="D47" s="75"/>
      <c r="E47" s="75"/>
      <c r="F47" s="75"/>
      <c r="G47" s="75"/>
      <c r="H47" s="75"/>
      <c r="I47" s="75"/>
      <c r="J47" s="75"/>
    </row>
    <row r="48" spans="2:10" x14ac:dyDescent="0.3">
      <c r="B48" s="54"/>
      <c r="C48" s="75"/>
      <c r="D48" s="75"/>
      <c r="E48" s="75"/>
      <c r="F48" s="75"/>
      <c r="G48" s="75"/>
      <c r="H48" s="75"/>
      <c r="I48" s="75"/>
      <c r="J48" s="75"/>
    </row>
    <row r="49" spans="2:10" x14ac:dyDescent="0.3">
      <c r="B49" s="54"/>
      <c r="C49" s="75"/>
      <c r="D49" s="75"/>
      <c r="E49" s="75"/>
      <c r="F49" s="75"/>
      <c r="G49" s="75"/>
      <c r="H49" s="75"/>
      <c r="I49" s="75"/>
      <c r="J49" s="75"/>
    </row>
    <row r="50" spans="2:10" x14ac:dyDescent="0.3">
      <c r="B50" s="54"/>
      <c r="C50" s="75"/>
      <c r="D50" s="75"/>
      <c r="E50" s="75"/>
      <c r="F50" s="75"/>
      <c r="G50" s="75"/>
      <c r="H50" s="75"/>
      <c r="I50" s="75"/>
      <c r="J50" s="75"/>
    </row>
    <row r="51" spans="2:10" x14ac:dyDescent="0.3">
      <c r="B51" s="54"/>
      <c r="C51" s="75"/>
      <c r="D51" s="75"/>
      <c r="E51" s="75"/>
      <c r="F51" s="75"/>
      <c r="G51" s="75"/>
      <c r="H51" s="75"/>
      <c r="I51" s="75"/>
      <c r="J51" s="75"/>
    </row>
    <row r="52" spans="2:10" x14ac:dyDescent="0.3">
      <c r="B52" s="54"/>
      <c r="C52" s="75"/>
      <c r="D52" s="75"/>
      <c r="E52" s="75"/>
      <c r="F52" s="75"/>
      <c r="G52" s="75"/>
      <c r="H52" s="75"/>
      <c r="I52" s="75"/>
      <c r="J52" s="75"/>
    </row>
    <row r="53" spans="2:10" x14ac:dyDescent="0.3">
      <c r="B53" s="54"/>
      <c r="C53" s="75"/>
      <c r="D53" s="75"/>
      <c r="E53" s="75"/>
      <c r="F53" s="75"/>
      <c r="G53" s="75"/>
      <c r="H53" s="75"/>
      <c r="I53" s="75"/>
      <c r="J53" s="75"/>
    </row>
    <row r="54" spans="2:10" x14ac:dyDescent="0.3">
      <c r="B54" s="54"/>
      <c r="C54" s="75"/>
      <c r="D54" s="75"/>
      <c r="E54" s="75"/>
      <c r="F54" s="75"/>
      <c r="G54" s="75"/>
      <c r="H54" s="75"/>
      <c r="I54" s="75"/>
      <c r="J54" s="75"/>
    </row>
    <row r="55" spans="2:10" x14ac:dyDescent="0.3">
      <c r="B55" s="54"/>
      <c r="C55" s="75"/>
      <c r="D55" s="75"/>
      <c r="E55" s="75"/>
      <c r="F55" s="75"/>
      <c r="G55" s="75"/>
      <c r="H55" s="75"/>
      <c r="I55" s="75"/>
      <c r="J55" s="75"/>
    </row>
    <row r="56" spans="2:10" x14ac:dyDescent="0.3">
      <c r="B56" s="54"/>
      <c r="C56" s="75"/>
      <c r="D56" s="75"/>
      <c r="E56" s="75"/>
      <c r="F56" s="75"/>
      <c r="G56" s="75"/>
      <c r="H56" s="75"/>
      <c r="I56" s="75"/>
      <c r="J56" s="75"/>
    </row>
    <row r="57" spans="2:10" x14ac:dyDescent="0.3">
      <c r="B57" s="54"/>
      <c r="C57" s="75"/>
      <c r="D57" s="75"/>
      <c r="E57" s="75"/>
      <c r="F57" s="75"/>
      <c r="G57" s="75"/>
      <c r="H57" s="75"/>
      <c r="I57" s="75"/>
      <c r="J57" s="75"/>
    </row>
    <row r="58" spans="2:10" x14ac:dyDescent="0.3">
      <c r="B58" s="54"/>
      <c r="C58" s="75"/>
      <c r="D58" s="75"/>
      <c r="E58" s="75"/>
      <c r="F58" s="75"/>
      <c r="G58" s="75"/>
      <c r="H58" s="75"/>
      <c r="I58" s="75"/>
      <c r="J58" s="75"/>
    </row>
    <row r="59" spans="2:10" x14ac:dyDescent="0.3">
      <c r="B59" s="54"/>
      <c r="C59" s="75"/>
      <c r="D59" s="75"/>
      <c r="E59" s="75"/>
      <c r="F59" s="75"/>
      <c r="G59" s="75"/>
      <c r="H59" s="75"/>
      <c r="I59" s="75"/>
      <c r="J59" s="75"/>
    </row>
    <row r="60" spans="2:10" x14ac:dyDescent="0.3">
      <c r="B60" s="54"/>
      <c r="C60" s="75"/>
      <c r="D60" s="75"/>
      <c r="E60" s="75"/>
      <c r="F60" s="75"/>
      <c r="G60" s="75"/>
      <c r="H60" s="75"/>
      <c r="I60" s="75"/>
      <c r="J60" s="75"/>
    </row>
    <row r="61" spans="2:10" x14ac:dyDescent="0.3">
      <c r="B61" s="54"/>
      <c r="C61" s="75"/>
      <c r="D61" s="75"/>
      <c r="E61" s="75"/>
      <c r="F61" s="75"/>
      <c r="G61" s="75"/>
      <c r="H61" s="75"/>
      <c r="I61" s="75"/>
      <c r="J61" s="75"/>
    </row>
    <row r="62" spans="2:10" x14ac:dyDescent="0.3">
      <c r="B62" s="54"/>
      <c r="C62" s="75"/>
      <c r="D62" s="75"/>
      <c r="E62" s="75"/>
      <c r="F62" s="75"/>
      <c r="G62" s="75"/>
      <c r="H62" s="75"/>
      <c r="I62" s="75"/>
      <c r="J62" s="75"/>
    </row>
    <row r="63" spans="2:10" x14ac:dyDescent="0.3">
      <c r="B63" s="54"/>
      <c r="C63" s="75"/>
      <c r="D63" s="75"/>
      <c r="E63" s="75"/>
      <c r="F63" s="75"/>
      <c r="G63" s="75"/>
      <c r="H63" s="75"/>
      <c r="I63" s="75"/>
      <c r="J63" s="75"/>
    </row>
    <row r="64" spans="2:10" x14ac:dyDescent="0.3">
      <c r="B64" s="54"/>
      <c r="C64" s="75"/>
      <c r="D64" s="75"/>
      <c r="E64" s="75"/>
      <c r="F64" s="75"/>
      <c r="G64" s="75"/>
      <c r="H64" s="75"/>
      <c r="I64" s="75"/>
      <c r="J64" s="75"/>
    </row>
    <row r="65" spans="2:10" x14ac:dyDescent="0.3">
      <c r="B65" s="54"/>
      <c r="C65" s="75"/>
      <c r="D65" s="75"/>
      <c r="E65" s="75"/>
      <c r="F65" s="75"/>
      <c r="G65" s="75"/>
      <c r="H65" s="75"/>
      <c r="I65" s="75"/>
      <c r="J65" s="75"/>
    </row>
    <row r="66" spans="2:10" x14ac:dyDescent="0.3">
      <c r="B66" s="54"/>
      <c r="C66" s="75"/>
      <c r="D66" s="75"/>
      <c r="E66" s="75"/>
      <c r="F66" s="75"/>
      <c r="G66" s="75"/>
      <c r="H66" s="75"/>
      <c r="I66" s="75"/>
      <c r="J66" s="75"/>
    </row>
    <row r="67" spans="2:10" x14ac:dyDescent="0.3">
      <c r="B67" s="54"/>
      <c r="C67" s="75"/>
      <c r="D67" s="75"/>
      <c r="E67" s="75"/>
      <c r="F67" s="75"/>
      <c r="G67" s="75"/>
      <c r="H67" s="75"/>
      <c r="I67" s="75"/>
      <c r="J67" s="75"/>
    </row>
    <row r="68" spans="2:10" x14ac:dyDescent="0.3">
      <c r="B68" s="54"/>
      <c r="C68" s="75"/>
      <c r="D68" s="75"/>
      <c r="E68" s="75"/>
      <c r="F68" s="75"/>
      <c r="G68" s="75"/>
      <c r="H68" s="75"/>
      <c r="I68" s="75"/>
      <c r="J68" s="75"/>
    </row>
    <row r="69" spans="2:10" x14ac:dyDescent="0.3">
      <c r="B69" s="54"/>
      <c r="C69" s="75"/>
      <c r="D69" s="75"/>
      <c r="E69" s="75"/>
      <c r="F69" s="75"/>
      <c r="G69" s="75"/>
      <c r="H69" s="75"/>
      <c r="I69" s="75"/>
      <c r="J69" s="75"/>
    </row>
    <row r="70" spans="2:10" x14ac:dyDescent="0.3">
      <c r="B70" s="54"/>
      <c r="C70" s="75"/>
      <c r="D70" s="75"/>
      <c r="E70" s="75"/>
      <c r="F70" s="75"/>
      <c r="G70" s="75"/>
      <c r="H70" s="75"/>
      <c r="I70" s="75"/>
      <c r="J70" s="75"/>
    </row>
    <row r="71" spans="2:10" x14ac:dyDescent="0.3">
      <c r="B71" s="54"/>
      <c r="C71" s="75"/>
      <c r="D71" s="75"/>
      <c r="E71" s="75"/>
      <c r="F71" s="75"/>
      <c r="G71" s="75"/>
      <c r="H71" s="75"/>
      <c r="I71" s="75"/>
      <c r="J71" s="75"/>
    </row>
    <row r="72" spans="2:10" x14ac:dyDescent="0.3">
      <c r="B72" s="54"/>
      <c r="C72" s="75"/>
      <c r="D72" s="75"/>
      <c r="E72" s="75"/>
      <c r="F72" s="75"/>
      <c r="G72" s="75"/>
      <c r="H72" s="75"/>
      <c r="I72" s="75"/>
      <c r="J72" s="75"/>
    </row>
    <row r="73" spans="2:10" x14ac:dyDescent="0.3">
      <c r="B73" s="54"/>
      <c r="C73" s="75"/>
      <c r="D73" s="75"/>
      <c r="E73" s="75"/>
      <c r="F73" s="75"/>
      <c r="G73" s="75"/>
      <c r="H73" s="75"/>
      <c r="I73" s="75"/>
      <c r="J73" s="75"/>
    </row>
    <row r="74" spans="2:10" x14ac:dyDescent="0.3">
      <c r="B74" s="54"/>
      <c r="C74" s="75"/>
      <c r="D74" s="75"/>
      <c r="E74" s="75"/>
      <c r="F74" s="75"/>
      <c r="G74" s="75"/>
      <c r="H74" s="75"/>
      <c r="I74" s="75"/>
      <c r="J74" s="75"/>
    </row>
    <row r="75" spans="2:10" x14ac:dyDescent="0.3">
      <c r="B75" s="54"/>
      <c r="C75" s="75"/>
      <c r="D75" s="75"/>
      <c r="E75" s="75"/>
      <c r="F75" s="75"/>
      <c r="G75" s="75"/>
      <c r="H75" s="75"/>
      <c r="I75" s="75"/>
      <c r="J75" s="75"/>
    </row>
    <row r="76" spans="2:10" x14ac:dyDescent="0.3">
      <c r="B76" s="54"/>
      <c r="C76" s="75"/>
      <c r="D76" s="75"/>
      <c r="E76" s="75"/>
      <c r="F76" s="75"/>
      <c r="G76" s="75"/>
      <c r="H76" s="75"/>
      <c r="I76" s="75"/>
      <c r="J76" s="75"/>
    </row>
    <row r="77" spans="2:10" x14ac:dyDescent="0.3">
      <c r="B77" s="54"/>
      <c r="C77" s="75"/>
      <c r="D77" s="75"/>
      <c r="E77" s="75"/>
      <c r="F77" s="75"/>
      <c r="G77" s="75"/>
      <c r="H77" s="75"/>
      <c r="I77" s="75"/>
      <c r="J77" s="75"/>
    </row>
    <row r="78" spans="2:10" x14ac:dyDescent="0.3">
      <c r="B78" s="54"/>
      <c r="C78" s="75"/>
      <c r="D78" s="75"/>
      <c r="E78" s="75"/>
      <c r="F78" s="75"/>
      <c r="G78" s="75"/>
      <c r="H78" s="75"/>
      <c r="I78" s="75"/>
      <c r="J78" s="75"/>
    </row>
    <row r="79" spans="2:10" x14ac:dyDescent="0.3">
      <c r="B79" s="54"/>
      <c r="C79" s="75"/>
      <c r="D79" s="75"/>
      <c r="E79" s="75"/>
      <c r="F79" s="75"/>
      <c r="G79" s="75"/>
      <c r="H79" s="75"/>
      <c r="I79" s="75"/>
      <c r="J79" s="75"/>
    </row>
    <row r="80" spans="2:10" x14ac:dyDescent="0.3">
      <c r="B80" s="54"/>
      <c r="C80" s="75"/>
      <c r="D80" s="75"/>
      <c r="E80" s="75"/>
      <c r="F80" s="75"/>
      <c r="G80" s="75"/>
      <c r="H80" s="75"/>
      <c r="I80" s="75"/>
      <c r="J80" s="75"/>
    </row>
    <row r="81" spans="2:10" x14ac:dyDescent="0.3">
      <c r="B81" s="54"/>
      <c r="C81" s="75"/>
      <c r="D81" s="75"/>
      <c r="E81" s="75"/>
      <c r="F81" s="75"/>
      <c r="G81" s="75"/>
      <c r="H81" s="75"/>
      <c r="I81" s="75"/>
      <c r="J81" s="75"/>
    </row>
    <row r="82" spans="2:10" x14ac:dyDescent="0.3">
      <c r="B82" s="54"/>
      <c r="C82" s="75"/>
      <c r="D82" s="75"/>
      <c r="E82" s="75"/>
      <c r="F82" s="75"/>
      <c r="G82" s="75"/>
      <c r="H82" s="75"/>
      <c r="I82" s="75"/>
      <c r="J82" s="75"/>
    </row>
    <row r="83" spans="2:10" x14ac:dyDescent="0.3">
      <c r="B83" s="54"/>
      <c r="C83" s="75"/>
      <c r="D83" s="75"/>
      <c r="E83" s="75"/>
      <c r="F83" s="75"/>
      <c r="G83" s="75"/>
      <c r="H83" s="75"/>
      <c r="I83" s="75"/>
      <c r="J83" s="75"/>
    </row>
    <row r="84" spans="2:10" x14ac:dyDescent="0.3">
      <c r="B84" s="54"/>
      <c r="C84" s="75"/>
      <c r="D84" s="75"/>
      <c r="E84" s="75"/>
      <c r="F84" s="75"/>
      <c r="G84" s="75"/>
      <c r="H84" s="75"/>
      <c r="I84" s="75"/>
      <c r="J84" s="75"/>
    </row>
    <row r="85" spans="2:10" x14ac:dyDescent="0.3">
      <c r="B85" s="54"/>
      <c r="C85" s="75"/>
      <c r="D85" s="75"/>
      <c r="E85" s="75"/>
      <c r="F85" s="75"/>
      <c r="G85" s="75"/>
      <c r="H85" s="75"/>
      <c r="I85" s="75"/>
      <c r="J85" s="75"/>
    </row>
    <row r="86" spans="2:10" x14ac:dyDescent="0.3">
      <c r="B86" s="54"/>
      <c r="C86" s="75"/>
      <c r="D86" s="75"/>
      <c r="E86" s="75"/>
      <c r="F86" s="75"/>
      <c r="G86" s="75"/>
      <c r="H86" s="75"/>
      <c r="I86" s="75"/>
      <c r="J86" s="75"/>
    </row>
    <row r="87" spans="2:10" x14ac:dyDescent="0.3">
      <c r="B87" s="54"/>
      <c r="C87" s="75"/>
      <c r="D87" s="75"/>
      <c r="E87" s="75"/>
      <c r="F87" s="75"/>
      <c r="G87" s="75"/>
      <c r="H87" s="75"/>
      <c r="I87" s="75"/>
      <c r="J87" s="75"/>
    </row>
    <row r="88" spans="2:10" x14ac:dyDescent="0.3">
      <c r="B88" s="54"/>
      <c r="C88" s="75"/>
      <c r="D88" s="75"/>
      <c r="E88" s="75"/>
      <c r="F88" s="75"/>
      <c r="G88" s="75"/>
      <c r="H88" s="75"/>
      <c r="I88" s="75"/>
      <c r="J88" s="75"/>
    </row>
    <row r="89" spans="2:10" x14ac:dyDescent="0.3">
      <c r="B89" s="54"/>
      <c r="C89" s="75"/>
      <c r="D89" s="75"/>
      <c r="E89" s="75"/>
      <c r="F89" s="75"/>
      <c r="G89" s="75"/>
      <c r="H89" s="75"/>
      <c r="I89" s="75"/>
      <c r="J89" s="75"/>
    </row>
    <row r="90" spans="2:10" x14ac:dyDescent="0.3">
      <c r="B90" s="54"/>
      <c r="C90" s="75"/>
      <c r="D90" s="75"/>
      <c r="E90" s="75"/>
      <c r="F90" s="75"/>
      <c r="G90" s="75"/>
      <c r="H90" s="75"/>
      <c r="I90" s="75"/>
      <c r="J90" s="75"/>
    </row>
    <row r="91" spans="2:10" x14ac:dyDescent="0.3">
      <c r="B91" s="54"/>
      <c r="C91" s="75"/>
      <c r="D91" s="75"/>
      <c r="E91" s="75"/>
      <c r="F91" s="75"/>
      <c r="G91" s="75"/>
      <c r="H91" s="75"/>
      <c r="I91" s="75"/>
      <c r="J91" s="75"/>
    </row>
    <row r="92" spans="2:10" x14ac:dyDescent="0.3">
      <c r="B92" s="54"/>
      <c r="C92" s="75"/>
      <c r="D92" s="75"/>
      <c r="E92" s="75"/>
      <c r="F92" s="75"/>
      <c r="G92" s="75"/>
      <c r="H92" s="75"/>
      <c r="I92" s="75"/>
      <c r="J92" s="75"/>
    </row>
    <row r="93" spans="2:10" x14ac:dyDescent="0.3">
      <c r="B93" s="54"/>
      <c r="C93" s="75"/>
      <c r="D93" s="75"/>
      <c r="E93" s="75"/>
      <c r="F93" s="75"/>
      <c r="G93" s="75"/>
      <c r="H93" s="75"/>
      <c r="I93" s="75"/>
      <c r="J93" s="75"/>
    </row>
    <row r="94" spans="2:10" x14ac:dyDescent="0.3">
      <c r="B94" s="54"/>
      <c r="C94" s="75"/>
      <c r="D94" s="75"/>
      <c r="E94" s="75"/>
      <c r="F94" s="75"/>
      <c r="G94" s="75"/>
      <c r="H94" s="75"/>
      <c r="I94" s="75"/>
      <c r="J94" s="75"/>
    </row>
    <row r="95" spans="2:10" x14ac:dyDescent="0.3">
      <c r="B95" s="54"/>
      <c r="C95" s="75"/>
      <c r="D95" s="75"/>
      <c r="E95" s="75"/>
      <c r="F95" s="75"/>
      <c r="G95" s="75"/>
      <c r="H95" s="75"/>
      <c r="I95" s="75"/>
      <c r="J95" s="75"/>
    </row>
    <row r="96" spans="2:10" x14ac:dyDescent="0.3">
      <c r="B96" s="54"/>
      <c r="C96" s="75"/>
      <c r="D96" s="75"/>
      <c r="E96" s="75"/>
      <c r="F96" s="75"/>
      <c r="G96" s="75"/>
      <c r="H96" s="75"/>
      <c r="I96" s="75"/>
      <c r="J96" s="75"/>
    </row>
    <row r="97" spans="2:10" x14ac:dyDescent="0.3">
      <c r="B97" s="54"/>
      <c r="C97" s="75"/>
      <c r="D97" s="75"/>
      <c r="E97" s="75"/>
      <c r="F97" s="75"/>
      <c r="G97" s="75"/>
      <c r="H97" s="75"/>
      <c r="I97" s="75"/>
      <c r="J97" s="75"/>
    </row>
    <row r="98" spans="2:10" x14ac:dyDescent="0.3">
      <c r="B98" s="54"/>
      <c r="C98" s="75"/>
      <c r="D98" s="75"/>
      <c r="E98" s="75"/>
      <c r="F98" s="75"/>
      <c r="G98" s="75"/>
      <c r="H98" s="75"/>
      <c r="I98" s="75"/>
      <c r="J98" s="75"/>
    </row>
    <row r="99" spans="2:10" x14ac:dyDescent="0.3">
      <c r="B99" s="54"/>
      <c r="C99" s="75"/>
      <c r="D99" s="75"/>
      <c r="E99" s="75"/>
      <c r="F99" s="75"/>
      <c r="G99" s="75"/>
      <c r="H99" s="75"/>
      <c r="I99" s="75"/>
      <c r="J99" s="75"/>
    </row>
    <row r="100" spans="2:10" x14ac:dyDescent="0.3">
      <c r="B100" s="54"/>
      <c r="C100" s="75"/>
      <c r="D100" s="75"/>
      <c r="E100" s="75"/>
      <c r="F100" s="75"/>
      <c r="G100" s="75"/>
      <c r="H100" s="75"/>
      <c r="I100" s="75"/>
      <c r="J100" s="75"/>
    </row>
    <row r="101" spans="2:10" x14ac:dyDescent="0.3">
      <c r="B101" s="54"/>
      <c r="C101" s="75"/>
      <c r="D101" s="75"/>
      <c r="E101" s="75"/>
      <c r="F101" s="75"/>
      <c r="G101" s="75"/>
      <c r="H101" s="75"/>
      <c r="I101" s="75"/>
      <c r="J101" s="75"/>
    </row>
    <row r="102" spans="2:10" x14ac:dyDescent="0.3">
      <c r="B102" s="54"/>
      <c r="C102" s="75"/>
      <c r="D102" s="75"/>
      <c r="E102" s="75"/>
      <c r="F102" s="75"/>
      <c r="G102" s="75"/>
      <c r="H102" s="75"/>
      <c r="I102" s="75"/>
      <c r="J102" s="75"/>
    </row>
    <row r="103" spans="2:10" x14ac:dyDescent="0.3">
      <c r="B103" s="54"/>
      <c r="C103" s="75"/>
      <c r="D103" s="75"/>
      <c r="E103" s="75"/>
      <c r="F103" s="75"/>
      <c r="G103" s="75"/>
      <c r="H103" s="75"/>
      <c r="I103" s="75"/>
      <c r="J103" s="75"/>
    </row>
    <row r="104" spans="2:10" x14ac:dyDescent="0.3">
      <c r="B104" s="54"/>
      <c r="C104" s="75"/>
      <c r="D104" s="75"/>
      <c r="E104" s="75"/>
      <c r="F104" s="75"/>
      <c r="G104" s="75"/>
      <c r="H104" s="75"/>
      <c r="I104" s="75"/>
      <c r="J104" s="75"/>
    </row>
    <row r="105" spans="2:10" x14ac:dyDescent="0.3">
      <c r="B105" s="54"/>
      <c r="C105" s="75"/>
      <c r="D105" s="75"/>
      <c r="E105" s="75"/>
      <c r="F105" s="75"/>
      <c r="G105" s="75"/>
      <c r="H105" s="75"/>
      <c r="I105" s="75"/>
      <c r="J105" s="75"/>
    </row>
    <row r="106" spans="2:10" x14ac:dyDescent="0.3">
      <c r="B106" s="54"/>
      <c r="C106" s="75"/>
      <c r="D106" s="75"/>
      <c r="E106" s="75"/>
      <c r="F106" s="75"/>
      <c r="G106" s="75"/>
      <c r="H106" s="75"/>
      <c r="I106" s="75"/>
      <c r="J106" s="75"/>
    </row>
    <row r="107" spans="2:10" x14ac:dyDescent="0.3">
      <c r="B107" s="54"/>
      <c r="C107" s="75"/>
      <c r="D107" s="75"/>
      <c r="E107" s="75"/>
      <c r="F107" s="75"/>
      <c r="G107" s="75"/>
      <c r="H107" s="75"/>
      <c r="I107" s="75"/>
      <c r="J107" s="75"/>
    </row>
    <row r="108" spans="2:10" x14ac:dyDescent="0.3">
      <c r="B108" s="54"/>
      <c r="C108" s="75"/>
      <c r="D108" s="75"/>
      <c r="E108" s="75"/>
      <c r="F108" s="75"/>
      <c r="G108" s="75"/>
      <c r="H108" s="75"/>
      <c r="I108" s="75"/>
      <c r="J108" s="75"/>
    </row>
    <row r="109" spans="2:10" x14ac:dyDescent="0.3">
      <c r="B109" s="54"/>
      <c r="C109" s="75"/>
      <c r="D109" s="75"/>
      <c r="E109" s="75"/>
      <c r="F109" s="75"/>
      <c r="G109" s="75"/>
      <c r="H109" s="75"/>
      <c r="I109" s="75"/>
      <c r="J109" s="75"/>
    </row>
    <row r="110" spans="2:10" x14ac:dyDescent="0.3">
      <c r="B110" s="54"/>
      <c r="C110" s="75"/>
      <c r="D110" s="75"/>
      <c r="E110" s="75"/>
      <c r="F110" s="75"/>
      <c r="G110" s="75"/>
      <c r="H110" s="75"/>
      <c r="I110" s="75"/>
      <c r="J110" s="75"/>
    </row>
    <row r="111" spans="2:10" x14ac:dyDescent="0.3">
      <c r="B111" s="54"/>
      <c r="C111" s="75"/>
      <c r="D111" s="75"/>
      <c r="E111" s="75"/>
      <c r="F111" s="75"/>
      <c r="G111" s="75"/>
      <c r="H111" s="75"/>
      <c r="I111" s="75"/>
      <c r="J111" s="75"/>
    </row>
    <row r="112" spans="2:10" x14ac:dyDescent="0.3">
      <c r="B112" s="54"/>
      <c r="C112" s="75"/>
      <c r="D112" s="75"/>
      <c r="E112" s="75"/>
      <c r="F112" s="75"/>
      <c r="G112" s="75"/>
      <c r="H112" s="75"/>
      <c r="I112" s="75"/>
      <c r="J112" s="75"/>
    </row>
    <row r="113" spans="2:10" x14ac:dyDescent="0.3">
      <c r="B113" s="54"/>
      <c r="C113" s="75"/>
      <c r="D113" s="75"/>
      <c r="E113" s="75"/>
      <c r="F113" s="75"/>
      <c r="G113" s="75"/>
      <c r="H113" s="75"/>
      <c r="I113" s="75"/>
      <c r="J113" s="75"/>
    </row>
    <row r="114" spans="2:10" x14ac:dyDescent="0.3">
      <c r="B114" s="54"/>
      <c r="C114" s="75"/>
      <c r="D114" s="75"/>
      <c r="E114" s="75"/>
      <c r="F114" s="75"/>
      <c r="G114" s="75"/>
      <c r="H114" s="75"/>
      <c r="I114" s="75"/>
      <c r="J114" s="75"/>
    </row>
    <row r="115" spans="2:10" x14ac:dyDescent="0.3">
      <c r="B115" s="54"/>
      <c r="C115" s="75"/>
      <c r="D115" s="75"/>
      <c r="E115" s="75"/>
      <c r="F115" s="75"/>
      <c r="G115" s="75"/>
      <c r="H115" s="75"/>
      <c r="I115" s="75"/>
      <c r="J115" s="75"/>
    </row>
    <row r="116" spans="2:10" x14ac:dyDescent="0.3">
      <c r="B116" s="54"/>
      <c r="C116" s="75"/>
      <c r="D116" s="75"/>
      <c r="E116" s="75"/>
      <c r="F116" s="75"/>
      <c r="G116" s="75"/>
      <c r="H116" s="75"/>
      <c r="I116" s="75"/>
      <c r="J116" s="75"/>
    </row>
    <row r="117" spans="2:10" x14ac:dyDescent="0.3">
      <c r="B117" s="54"/>
      <c r="C117" s="75"/>
      <c r="D117" s="75"/>
      <c r="E117" s="75"/>
      <c r="F117" s="75"/>
      <c r="G117" s="75"/>
      <c r="H117" s="75"/>
      <c r="I117" s="75"/>
      <c r="J117" s="75"/>
    </row>
    <row r="118" spans="2:10" x14ac:dyDescent="0.3">
      <c r="B118" s="54"/>
      <c r="C118" s="75"/>
      <c r="D118" s="75"/>
      <c r="E118" s="75"/>
      <c r="F118" s="75"/>
      <c r="G118" s="75"/>
      <c r="H118" s="75"/>
      <c r="I118" s="75"/>
      <c r="J118" s="75"/>
    </row>
    <row r="119" spans="2:10" x14ac:dyDescent="0.3">
      <c r="B119" s="54"/>
      <c r="C119" s="75"/>
      <c r="D119" s="75"/>
      <c r="E119" s="75"/>
      <c r="F119" s="75"/>
      <c r="G119" s="75"/>
      <c r="H119" s="75"/>
      <c r="I119" s="75"/>
      <c r="J119" s="75"/>
    </row>
    <row r="120" spans="2:10" x14ac:dyDescent="0.3">
      <c r="B120" s="54"/>
      <c r="C120" s="75"/>
      <c r="D120" s="75"/>
      <c r="E120" s="75"/>
      <c r="F120" s="75"/>
      <c r="G120" s="75"/>
      <c r="H120" s="75"/>
      <c r="I120" s="75"/>
      <c r="J120" s="75"/>
    </row>
    <row r="121" spans="2:10" x14ac:dyDescent="0.3">
      <c r="B121" s="54"/>
      <c r="C121" s="75"/>
      <c r="D121" s="75"/>
      <c r="E121" s="75"/>
      <c r="F121" s="75"/>
      <c r="G121" s="75"/>
      <c r="H121" s="75"/>
      <c r="I121" s="75"/>
      <c r="J121" s="75"/>
    </row>
    <row r="122" spans="2:10" x14ac:dyDescent="0.3">
      <c r="B122" s="54"/>
      <c r="C122" s="75"/>
      <c r="D122" s="75"/>
      <c r="E122" s="75"/>
      <c r="F122" s="75"/>
      <c r="G122" s="75"/>
      <c r="H122" s="75"/>
      <c r="I122" s="75"/>
      <c r="J122" s="75"/>
    </row>
    <row r="123" spans="2:10" x14ac:dyDescent="0.3">
      <c r="B123" s="54"/>
      <c r="C123" s="75"/>
      <c r="D123" s="75"/>
      <c r="E123" s="75"/>
      <c r="F123" s="75"/>
      <c r="G123" s="75"/>
      <c r="H123" s="75"/>
      <c r="I123" s="75"/>
      <c r="J123" s="75"/>
    </row>
    <row r="124" spans="2:10" x14ac:dyDescent="0.3">
      <c r="B124" s="54"/>
      <c r="C124" s="75"/>
      <c r="D124" s="75"/>
      <c r="E124" s="75"/>
      <c r="F124" s="75"/>
      <c r="G124" s="75"/>
      <c r="H124" s="75"/>
      <c r="I124" s="75"/>
      <c r="J124" s="75"/>
    </row>
    <row r="125" spans="2:10" x14ac:dyDescent="0.3">
      <c r="B125" s="54"/>
      <c r="C125" s="75"/>
      <c r="D125" s="75"/>
      <c r="E125" s="75"/>
      <c r="F125" s="75"/>
      <c r="G125" s="75"/>
      <c r="H125" s="75"/>
      <c r="I125" s="75"/>
      <c r="J125" s="75"/>
    </row>
    <row r="126" spans="2:10" x14ac:dyDescent="0.3">
      <c r="B126" s="54"/>
      <c r="C126" s="75"/>
      <c r="D126" s="75"/>
      <c r="E126" s="75"/>
      <c r="F126" s="75"/>
      <c r="G126" s="75"/>
      <c r="H126" s="75"/>
      <c r="I126" s="75"/>
      <c r="J126" s="75"/>
    </row>
    <row r="127" spans="2:10" x14ac:dyDescent="0.3">
      <c r="B127" s="54"/>
      <c r="C127" s="75"/>
      <c r="D127" s="75"/>
      <c r="E127" s="75"/>
      <c r="F127" s="75"/>
      <c r="G127" s="75"/>
      <c r="H127" s="75"/>
      <c r="I127" s="75"/>
      <c r="J127" s="75"/>
    </row>
    <row r="128" spans="2:10" x14ac:dyDescent="0.3">
      <c r="B128" s="54"/>
      <c r="C128" s="75"/>
      <c r="D128" s="75"/>
      <c r="E128" s="75"/>
      <c r="F128" s="75"/>
      <c r="G128" s="75"/>
      <c r="H128" s="75"/>
      <c r="I128" s="75"/>
      <c r="J128" s="75"/>
    </row>
    <row r="129" spans="2:10" x14ac:dyDescent="0.3">
      <c r="B129" s="54"/>
      <c r="C129" s="75"/>
      <c r="D129" s="75"/>
      <c r="E129" s="75"/>
      <c r="F129" s="75"/>
      <c r="G129" s="75"/>
      <c r="H129" s="75"/>
      <c r="I129" s="75"/>
      <c r="J129" s="75"/>
    </row>
    <row r="130" spans="2:10" x14ac:dyDescent="0.3">
      <c r="B130" s="54"/>
      <c r="C130" s="75"/>
      <c r="D130" s="75"/>
      <c r="E130" s="75"/>
      <c r="F130" s="75"/>
      <c r="G130" s="75"/>
      <c r="H130" s="75"/>
      <c r="I130" s="75"/>
      <c r="J130" s="75"/>
    </row>
    <row r="131" spans="2:10" x14ac:dyDescent="0.3">
      <c r="B131" s="54"/>
      <c r="C131" s="75"/>
      <c r="D131" s="75"/>
      <c r="E131" s="75"/>
      <c r="F131" s="75"/>
      <c r="G131" s="75"/>
      <c r="H131" s="75"/>
      <c r="I131" s="75"/>
      <c r="J131" s="75"/>
    </row>
    <row r="132" spans="2:10" x14ac:dyDescent="0.3">
      <c r="B132" s="54"/>
      <c r="C132" s="75"/>
      <c r="D132" s="75"/>
      <c r="E132" s="75"/>
      <c r="F132" s="75"/>
      <c r="G132" s="75"/>
      <c r="H132" s="75"/>
      <c r="I132" s="75"/>
      <c r="J132" s="75"/>
    </row>
    <row r="133" spans="2:10" x14ac:dyDescent="0.3">
      <c r="B133" s="54"/>
      <c r="C133" s="75"/>
      <c r="D133" s="75"/>
      <c r="E133" s="75"/>
      <c r="F133" s="75"/>
      <c r="G133" s="75"/>
      <c r="H133" s="75"/>
      <c r="I133" s="75"/>
      <c r="J133" s="75"/>
    </row>
    <row r="134" spans="2:10" x14ac:dyDescent="0.3">
      <c r="B134" s="54"/>
      <c r="C134" s="75"/>
      <c r="D134" s="75"/>
      <c r="E134" s="75"/>
      <c r="F134" s="75"/>
      <c r="G134" s="75"/>
      <c r="H134" s="75"/>
      <c r="I134" s="75"/>
      <c r="J134" s="75"/>
    </row>
    <row r="135" spans="2:10" x14ac:dyDescent="0.3">
      <c r="B135" s="54"/>
      <c r="C135" s="75"/>
      <c r="D135" s="75"/>
      <c r="E135" s="75"/>
      <c r="F135" s="75"/>
      <c r="G135" s="75"/>
      <c r="H135" s="75"/>
      <c r="I135" s="75"/>
      <c r="J135" s="75"/>
    </row>
    <row r="136" spans="2:10" x14ac:dyDescent="0.3">
      <c r="B136" s="54"/>
      <c r="C136" s="75"/>
      <c r="D136" s="75"/>
      <c r="E136" s="75"/>
      <c r="F136" s="75"/>
      <c r="G136" s="75"/>
      <c r="H136" s="75"/>
      <c r="I136" s="75"/>
      <c r="J136" s="75"/>
    </row>
    <row r="137" spans="2:10" x14ac:dyDescent="0.3">
      <c r="B137" s="54"/>
      <c r="C137" s="75"/>
      <c r="D137" s="75"/>
      <c r="E137" s="75"/>
      <c r="F137" s="75"/>
      <c r="G137" s="75"/>
      <c r="H137" s="75"/>
      <c r="I137" s="75"/>
      <c r="J137" s="75"/>
    </row>
    <row r="138" spans="2:10" x14ac:dyDescent="0.3">
      <c r="B138" s="54"/>
      <c r="C138" s="75"/>
      <c r="D138" s="75"/>
      <c r="E138" s="75"/>
      <c r="F138" s="75"/>
      <c r="G138" s="75"/>
      <c r="H138" s="75"/>
      <c r="I138" s="75"/>
      <c r="J138" s="75"/>
    </row>
  </sheetData>
  <mergeCells count="10">
    <mergeCell ref="B12:C12"/>
    <mergeCell ref="B13:C13"/>
    <mergeCell ref="B21:C21"/>
    <mergeCell ref="B19:C19"/>
    <mergeCell ref="B20:C20"/>
    <mergeCell ref="B23:C23"/>
    <mergeCell ref="B14:C14"/>
    <mergeCell ref="B17:C17"/>
    <mergeCell ref="B18:C18"/>
    <mergeCell ref="B16:D16"/>
  </mergeCells>
  <dataValidations count="1">
    <dataValidation type="list" allowBlank="1" showInputMessage="1" showErrorMessage="1" sqref="C32" xr:uid="{00000000-0002-0000-0100-000000000000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21"/>
  <sheetViews>
    <sheetView showGridLines="0" zoomScale="115" zoomScaleNormal="115" workbookViewId="0">
      <selection activeCell="C7" sqref="C7"/>
    </sheetView>
  </sheetViews>
  <sheetFormatPr defaultRowHeight="14.4" x14ac:dyDescent="0.3"/>
  <cols>
    <col min="1" max="1" width="29.21875" bestFit="1" customWidth="1"/>
    <col min="2" max="2" width="11.5546875" bestFit="1" customWidth="1"/>
    <col min="3" max="3" width="17.77734375" bestFit="1" customWidth="1"/>
    <col min="7" max="7" width="15.33203125" bestFit="1" customWidth="1"/>
  </cols>
  <sheetData>
    <row r="2" spans="1:8" x14ac:dyDescent="0.3">
      <c r="A2" s="18" t="s">
        <v>55</v>
      </c>
      <c r="B2" s="18" t="s">
        <v>43</v>
      </c>
      <c r="C2" s="19" t="s">
        <v>46</v>
      </c>
      <c r="D2" s="19" t="s">
        <v>56</v>
      </c>
    </row>
    <row r="3" spans="1:8" x14ac:dyDescent="0.3">
      <c r="A3" t="str">
        <f t="shared" ref="A3:A20" si="0">B3&amp;"-"&amp;C3</f>
        <v>Conservador-PAPEL</v>
      </c>
      <c r="B3" t="s">
        <v>57</v>
      </c>
      <c r="C3" s="2" t="s">
        <v>49</v>
      </c>
      <c r="D3" s="3">
        <v>0.3</v>
      </c>
      <c r="H3" t="s">
        <v>56</v>
      </c>
    </row>
    <row r="4" spans="1:8" x14ac:dyDescent="0.3">
      <c r="A4" t="str">
        <f t="shared" si="0"/>
        <v>Conservador-TIJOLO</v>
      </c>
      <c r="B4" t="s">
        <v>57</v>
      </c>
      <c r="C4" s="2" t="s">
        <v>50</v>
      </c>
      <c r="D4" s="3">
        <v>0.5</v>
      </c>
      <c r="G4" s="10" t="s">
        <v>58</v>
      </c>
      <c r="H4" s="17">
        <f>VLOOKUP(G4,$A:$D,4,FALSE)</f>
        <v>0.35</v>
      </c>
    </row>
    <row r="5" spans="1:8" x14ac:dyDescent="0.3">
      <c r="A5" t="str">
        <f t="shared" si="0"/>
        <v>Conservador-HÍBRIDOS</v>
      </c>
      <c r="B5" t="s">
        <v>57</v>
      </c>
      <c r="C5" s="2" t="s">
        <v>51</v>
      </c>
      <c r="D5" s="3">
        <v>0.1</v>
      </c>
    </row>
    <row r="6" spans="1:8" x14ac:dyDescent="0.3">
      <c r="A6" t="str">
        <f t="shared" si="0"/>
        <v>Conservador-FOFs</v>
      </c>
      <c r="B6" t="s">
        <v>57</v>
      </c>
      <c r="C6" s="2" t="s">
        <v>52</v>
      </c>
      <c r="D6" s="3">
        <v>0.1</v>
      </c>
    </row>
    <row r="7" spans="1:8" x14ac:dyDescent="0.3">
      <c r="A7" t="str">
        <f t="shared" si="0"/>
        <v>Conservador-DESENVOLVIMENTO</v>
      </c>
      <c r="B7" t="s">
        <v>57</v>
      </c>
      <c r="C7" s="2" t="s">
        <v>53</v>
      </c>
      <c r="D7" s="3">
        <v>0</v>
      </c>
    </row>
    <row r="8" spans="1:8" ht="15" customHeight="1" thickBot="1" x14ac:dyDescent="0.35">
      <c r="A8" s="11" t="str">
        <f t="shared" si="0"/>
        <v>Conservador-HOTELARIAS</v>
      </c>
      <c r="B8" s="11" t="s">
        <v>57</v>
      </c>
      <c r="C8" s="12" t="s">
        <v>54</v>
      </c>
      <c r="D8" s="13">
        <v>0</v>
      </c>
    </row>
    <row r="9" spans="1:8" x14ac:dyDescent="0.3">
      <c r="A9" t="str">
        <f t="shared" si="0"/>
        <v>Moderado-PAPEL</v>
      </c>
      <c r="B9" t="s">
        <v>44</v>
      </c>
      <c r="C9" s="2" t="s">
        <v>49</v>
      </c>
      <c r="D9" s="3">
        <v>0.32</v>
      </c>
    </row>
    <row r="10" spans="1:8" x14ac:dyDescent="0.3">
      <c r="A10" s="14" t="str">
        <f t="shared" si="0"/>
        <v>Moderado-TIJOLO</v>
      </c>
      <c r="B10" s="14" t="s">
        <v>44</v>
      </c>
      <c r="C10" s="15" t="s">
        <v>50</v>
      </c>
      <c r="D10" s="16">
        <v>0.35</v>
      </c>
    </row>
    <row r="11" spans="1:8" x14ac:dyDescent="0.3">
      <c r="A11" t="str">
        <f t="shared" si="0"/>
        <v>Moderado-HÍBRIDOS</v>
      </c>
      <c r="B11" t="s">
        <v>44</v>
      </c>
      <c r="C11" s="2" t="s">
        <v>51</v>
      </c>
      <c r="D11" s="3">
        <v>0.08</v>
      </c>
    </row>
    <row r="12" spans="1:8" x14ac:dyDescent="0.3">
      <c r="A12" t="str">
        <f t="shared" si="0"/>
        <v>Moderado-FOFs</v>
      </c>
      <c r="B12" t="s">
        <v>44</v>
      </c>
      <c r="C12" s="2" t="s">
        <v>52</v>
      </c>
      <c r="D12" s="3">
        <v>0.05</v>
      </c>
    </row>
    <row r="13" spans="1:8" x14ac:dyDescent="0.3">
      <c r="A13" t="str">
        <f t="shared" si="0"/>
        <v>Moderado-DESENVOLVIMENTO</v>
      </c>
      <c r="B13" t="s">
        <v>44</v>
      </c>
      <c r="C13" s="2" t="s">
        <v>53</v>
      </c>
      <c r="D13" s="3">
        <v>0.1</v>
      </c>
    </row>
    <row r="14" spans="1:8" ht="15" customHeight="1" thickBot="1" x14ac:dyDescent="0.35">
      <c r="A14" s="11" t="str">
        <f t="shared" si="0"/>
        <v>Moderado-HOTELARIAS</v>
      </c>
      <c r="B14" s="11" t="s">
        <v>44</v>
      </c>
      <c r="C14" s="12" t="s">
        <v>54</v>
      </c>
      <c r="D14" s="13">
        <v>0.1</v>
      </c>
    </row>
    <row r="15" spans="1:8" x14ac:dyDescent="0.3">
      <c r="A15" t="str">
        <f t="shared" si="0"/>
        <v>Agressivo-PAPEL</v>
      </c>
      <c r="B15" t="s">
        <v>59</v>
      </c>
      <c r="C15" s="2" t="s">
        <v>49</v>
      </c>
      <c r="D15" s="3">
        <v>0.5</v>
      </c>
    </row>
    <row r="16" spans="1:8" x14ac:dyDescent="0.3">
      <c r="A16" t="str">
        <f t="shared" si="0"/>
        <v>Agressivo-TIJOLO</v>
      </c>
      <c r="B16" t="s">
        <v>59</v>
      </c>
      <c r="C16" s="2" t="s">
        <v>50</v>
      </c>
      <c r="D16" s="3">
        <v>0.1</v>
      </c>
    </row>
    <row r="17" spans="1:4" x14ac:dyDescent="0.3">
      <c r="A17" t="str">
        <f t="shared" si="0"/>
        <v>Agressivo-HÍBRIDOS</v>
      </c>
      <c r="B17" t="s">
        <v>59</v>
      </c>
      <c r="C17" s="2" t="s">
        <v>51</v>
      </c>
      <c r="D17" s="3">
        <v>0.05</v>
      </c>
    </row>
    <row r="18" spans="1:4" x14ac:dyDescent="0.3">
      <c r="A18" t="str">
        <f t="shared" si="0"/>
        <v>Agressivo-FOFs</v>
      </c>
      <c r="B18" t="s">
        <v>59</v>
      </c>
      <c r="C18" s="2" t="s">
        <v>52</v>
      </c>
      <c r="D18" s="3">
        <v>0.05</v>
      </c>
    </row>
    <row r="19" spans="1:4" x14ac:dyDescent="0.3">
      <c r="A19" t="str">
        <f t="shared" si="0"/>
        <v>Agressivo-DESENVOLVIMENTO</v>
      </c>
      <c r="B19" t="s">
        <v>59</v>
      </c>
      <c r="C19" s="2" t="s">
        <v>53</v>
      </c>
      <c r="D19" s="3">
        <v>0.2</v>
      </c>
    </row>
    <row r="20" spans="1:4" x14ac:dyDescent="0.3">
      <c r="A20" t="str">
        <f t="shared" si="0"/>
        <v>Agressivo-HOTELARIAS</v>
      </c>
      <c r="B20" t="s">
        <v>59</v>
      </c>
      <c r="C20" s="2" t="s">
        <v>54</v>
      </c>
      <c r="D20" s="3">
        <v>0.1</v>
      </c>
    </row>
    <row r="21" spans="1:4" x14ac:dyDescent="0.3">
      <c r="D21" s="2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showGridLines="0" workbookViewId="0">
      <selection sqref="A1:B1"/>
    </sheetView>
  </sheetViews>
  <sheetFormatPr defaultRowHeight="14.4" x14ac:dyDescent="0.3"/>
  <cols>
    <col min="1" max="1" width="28" customWidth="1"/>
    <col min="2" max="2" width="95" customWidth="1"/>
  </cols>
  <sheetData>
    <row r="1" spans="1:2" ht="21" x14ac:dyDescent="0.4">
      <c r="A1" s="47" t="s">
        <v>60</v>
      </c>
      <c r="B1" s="26"/>
    </row>
    <row r="3" spans="1:2" x14ac:dyDescent="0.3">
      <c r="A3" s="23" t="s">
        <v>3</v>
      </c>
      <c r="B3" s="24" t="s">
        <v>61</v>
      </c>
    </row>
    <row r="4" spans="1:2" x14ac:dyDescent="0.3">
      <c r="A4" s="23" t="s">
        <v>4</v>
      </c>
      <c r="B4" s="24" t="s">
        <v>62</v>
      </c>
    </row>
    <row r="5" spans="1:2" x14ac:dyDescent="0.3">
      <c r="A5" s="23" t="s">
        <v>63</v>
      </c>
      <c r="B5" s="24" t="s">
        <v>64</v>
      </c>
    </row>
    <row r="6" spans="1:2" x14ac:dyDescent="0.3">
      <c r="A6" s="23" t="s">
        <v>7</v>
      </c>
      <c r="B6" s="24" t="s">
        <v>65</v>
      </c>
    </row>
    <row r="7" spans="1:2" x14ac:dyDescent="0.3">
      <c r="A7" s="23" t="s">
        <v>23</v>
      </c>
      <c r="B7" s="24" t="s">
        <v>66</v>
      </c>
    </row>
    <row r="8" spans="1:2" ht="28.8" x14ac:dyDescent="0.3">
      <c r="A8" s="23" t="s">
        <v>6</v>
      </c>
      <c r="B8" s="24" t="s">
        <v>67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8</vt:i4>
      </vt:variant>
    </vt:vector>
  </HeadingPairs>
  <TitlesOfParts>
    <vt:vector size="12" baseType="lpstr">
      <vt:lpstr>Simulador</vt:lpstr>
      <vt:lpstr>APP</vt:lpstr>
      <vt:lpstr>Planilha2</vt:lpstr>
      <vt:lpstr>Notas</vt:lpstr>
      <vt:lpstr>aporte</vt:lpstr>
      <vt:lpstr>Simulador!Area_de_impressao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Tio Lú</cp:lastModifiedBy>
  <dcterms:created xsi:type="dcterms:W3CDTF">2025-04-16T18:38:03Z</dcterms:created>
  <dcterms:modified xsi:type="dcterms:W3CDTF">2026-09-18T15:52:04Z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